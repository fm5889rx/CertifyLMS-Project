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総合評価" sheetId="1" r:id="rId5"/>
    <sheet state="visible" name="Story" sheetId="2" r:id="rId6"/>
    <sheet state="visible" name="Bug" sheetId="3" r:id="rId7"/>
    <sheet state="visible" name="Task" sheetId="4" r:id="rId8"/>
    <sheet state="visible" name="横断品質" sheetId="5" r:id="rId9"/>
    <sheet state="visible" name="誤答リスト" sheetId="6" r:id="rId10"/>
  </sheets>
  <definedNames/>
  <calcPr/>
</workbook>
</file>

<file path=xl/sharedStrings.xml><?xml version="1.0" encoding="utf-8"?>
<sst xmlns="http://schemas.openxmlformats.org/spreadsheetml/2006/main" count="769" uniqueCount="328">
  <si>
    <t>総合</t>
  </si>
  <si>
    <t>配点</t>
  </si>
  <si>
    <t>正答数</t>
  </si>
  <si>
    <t>正答率</t>
  </si>
  <si>
    <t>スコア</t>
  </si>
  <si>
    <t>評価</t>
  </si>
  <si>
    <t>コメント</t>
  </si>
  <si>
    <t>複数の機能グループで基本的な実装が確認できました。特に質問掲示板、面談パック・プラン管理、お知らせ配信、Stripe連携、Sanctum認証などで部分的な加点が得られています。一方、権限検証・状態遷移の制御、フラッシュメッセージの正確性、バリデーション・エラーハンドリング、Google Calendar・Gemini AI・修了証PDFなどの外部連携機能、およびコード品質が要件と一致していません。</t>
  </si>
  <si>
    <t/>
  </si>
  <si>
    <t>評価ライン（COACHTECH 標準: S 95 / A 85 / B 70 / C 50）</t>
  </si>
  <si>
    <t>閾値</t>
  </si>
  <si>
    <t>必要点</t>
  </si>
  <si>
    <t>到達条件</t>
  </si>
  <si>
    <t>S</t>
  </si>
  <si>
    <t>95 点以上</t>
  </si>
  <si>
    <t>Basic 満点（172 点）+ Advance 93 点（Advance 配点の 87.7%）→ Basic・Advance ともほぼ完答が必要</t>
  </si>
  <si>
    <t>A</t>
  </si>
  <si>
    <t>85 点以上</t>
  </si>
  <si>
    <t>Basic 満点（172 点）+ Advance 65 点（Advance 配点の 61.3%）</t>
  </si>
  <si>
    <t>B</t>
  </si>
  <si>
    <t>70 点以上</t>
  </si>
  <si>
    <t>Basic 満点（172 点）+ Advance 23 点（Advance 配点の 21.7%）</t>
  </si>
  <si>
    <t>C</t>
  </si>
  <si>
    <t>50 点以上</t>
  </si>
  <si>
    <t>Basic のみで到達可（Basic 配点の 80.8%）</t>
  </si>
  <si>
    <t>D</t>
  </si>
  <si>
    <t>50 点未満</t>
  </si>
  <si>
    <t>—</t>
  </si>
  <si>
    <t>大項目別</t>
  </si>
  <si>
    <t>チケット要件</t>
  </si>
  <si>
    <t>チケット要件は 221 点中 152 点でした。要件との差があったのは S-A-01 Google Calendar 連携（面談予約）（12 点）・S-B-01 質問掲示板（7 点）・S-B-05 個人学習目標の管理（7 点）・S-B-07 受講生メモの管理（コーチ）（7 点）・S-B-04 通知基盤（アプリ内＋メール）（6 点）・S-A-02 Gemini AI チャットボット（5 点）・S-B-03 プランのマスタ管理（5 点）・S-A-04 修了証 PDF 出力（4 点）・S-B-02 面談パックのマスタ管理（4 点）・S-A-03 Stripe 連携（追加面談購入）（3 点）・S-B-06 設定・プロフィール（3 点）・S-A-05 Sanctum Cookie 認証 + JS フロント通知表示（2 点）・S-B-08 お知らせ配信（管理者）（2 点）・T-A-04 外部 API 連携のモックテスト追加（2 点）です。詳しくは下のチケット別コメントをご確認ください。</t>
  </si>
  <si>
    <t>横断品質</t>
  </si>
  <si>
    <t>横断品質は 57 点中 33 点でした。要件との差があったのは コード品質（24 点）です。詳しくは下のチケット別コメントをご確認ください。</t>
  </si>
  <si>
    <t>種別・難易度別</t>
  </si>
  <si>
    <t>Story（Basic）</t>
  </si>
  <si>
    <t>Story（Basic）は 82 点中 41 点でした。要件との差があったのは S-B-01 質問掲示板（7 点）・S-B-05 個人学習目標の管理（7 点）・S-B-07 受講生メモの管理（コーチ）（7 点）・S-B-04 通知基盤（アプリ内＋メール）（6 点）・S-B-03 プランのマスタ管理（5 点）・S-B-02 面談パックのマスタ管理（4 点）・S-B-06 設定・プロフィール（3 点）・S-B-08 お知らせ配信（管理者）（2 点）です。詳しくは下のチケット別コメントをご確認ください。</t>
  </si>
  <si>
    <t>Story（Advance）</t>
  </si>
  <si>
    <t>Story（Advance）は 64 点中 38 点でした。要件との差があったのは S-A-01 Google Calendar 連携（面談予約）（12 点）・S-A-02 Gemini AI チャットボット（5 点）・S-A-04 修了証 PDF 出力（4 点）・S-A-03 Stripe 連携（追加面談購入）（3 点）・S-A-05 Sanctum Cookie 認証 + JS フロント通知表示（2 点）です。詳しくは下のチケット別コメントをご確認ください。</t>
  </si>
  <si>
    <t>Bug（Basic）</t>
  </si>
  <si>
    <t>Bug（Basic）は 43 点中 43 点、全 33 項目が加点となりました。</t>
  </si>
  <si>
    <t>Bug（Advance）</t>
  </si>
  <si>
    <t>Bug（Advance）は 10 点中 10 点、全 6 項目が加点となりました。</t>
  </si>
  <si>
    <t>Task（Basic）</t>
  </si>
  <si>
    <t>Task（Basic）は 4 点中 4 点、全 2 項目が加点となりました。</t>
  </si>
  <si>
    <t>Task（Advance）</t>
  </si>
  <si>
    <t>Task（Advance）は 18 点中 16 点でした。要件との差があったのは T-A-04 外部 API 連携のモックテスト追加（2 点）です。詳しくは下のチケット別コメントをご確認ください。</t>
  </si>
  <si>
    <t>横断品質（Basic）</t>
  </si>
  <si>
    <t>横断品質（Basic）は 43 点中 24 点でした。要件との差があったのは コード品質（19 点）です。詳しくは下のチケット別コメントをご確認ください。</t>
  </si>
  <si>
    <t>横断品質（応用）</t>
  </si>
  <si>
    <t>横断品質（応用）は 14 点中 9 点でした。要件との差があったのは コード品質（5 点）です。詳しくは下のチケット別コメントをご確認ください。</t>
  </si>
  <si>
    <t>Basic 計</t>
  </si>
  <si>
    <t>Basic 計は 172 点中 112 点でした。要件との差があったのは コード品質（19 点）・S-B-01 質問掲示板（7 点）・S-B-05 個人学習目標の管理（7 点）・S-B-07 受講生メモの管理（コーチ）（7 点）・S-B-04 通知基盤（アプリ内＋メール）（6 点）・S-B-03 プランのマスタ管理（5 点）・S-B-02 面談パックのマスタ管理（4 点）・S-B-06 設定・プロフィール（3 点）・S-B-08 お知らせ配信（管理者）（2 点）です。詳しくは下のチケット別コメントをご確認ください。</t>
  </si>
  <si>
    <t>Advance 計</t>
  </si>
  <si>
    <t>Advance 計は 106 点中 73 点でした。要件との差があったのは S-A-01 Google Calendar 連携（面談予約）（12 点）・S-A-02 Gemini AI チャットボット（5 点）・コード品質（5 点）・S-A-04 修了証 PDF 出力（4 点）・S-A-03 Stripe 連携（追加面談購入）（3 点）・S-A-05 Sanctum Cookie 認証 + JS フロント通知表示（2 点）・T-A-04 外部 API 連携のモックテスト追加（2 点）です。詳しくは下のチケット別コメントをご確認ください。</t>
  </si>
  <si>
    <t>チケット別</t>
  </si>
  <si>
    <t>S-B-01 質問掲示板</t>
  </si>
  <si>
    <t>スレッド投稿・削除・回答機能の基本的な実装が確認できました。一方、回答が付いているスレッドの削除時に成功メッセージが表示される、公開停止資格のスレッドが表示される、コーチが担当外資格のスレッドを閲覧できる、公開されていない資格への投稿が成功と伝えられるなど、権限・状態の検証とフラッシュメッセージの制御が要件と一致していません。</t>
  </si>
  <si>
    <t>S-B-02 面談パックのマスタ管理</t>
  </si>
  <si>
    <t>一覧表示・ステータス遷移の基本機能が実装されています。新規作成後の遷移先、ステータス遷移後の遷移先、および価格の上限値バリデーションが要件と一致していません。</t>
  </si>
  <si>
    <t>S-B-03 プランのマスタ管理</t>
  </si>
  <si>
    <t>プラン管理の基本的な機能が実装されています。新規作成後の遷移先、アーカイブ状態のプランの削除制御、ステータス遷移後の遷移先、および期間日数の上限値バリデーションが要件と一致していません。</t>
  </si>
  <si>
    <t>S-B-04 通知基盤（アプリ内＋メール）</t>
  </si>
  <si>
    <t>通知機能の基本的なルート設計が確認できました。チャットメッセージ投稿時の通知生成、Q&amp;Aスレッド回答時の通知生成、面談予約時の通知生成、面談キャンセル時の通知生成が要件どおりに動作することを確認できませんでした。また、Q&amp;A回答時に投稿者本人が自身に通知を受け取らないようにする制御が要件と一致していません。</t>
  </si>
  <si>
    <t>S-B-05 個人学習目標の管理</t>
  </si>
  <si>
    <t>目標機能のルート設計が確認できました。目標追加後の遷移、目標編集・削除・達成状態の操作、および目標一覧の表示が要件どおりに動作することを確認できませんでした。また、バリデーション違反時のエラーメッセージが要件と一致していません。</t>
  </si>
  <si>
    <t>S-B-06 設定・プロフィール</t>
  </si>
  <si>
    <t>プロフィール更新の基本機能が実装されています。自己紹介の保存、固定面談URLの保存と表示、およびバリデーション違反時の入力値復元が要件と一致していません。</t>
  </si>
  <si>
    <t>S-B-07 受講生メモの管理（コーチ）</t>
  </si>
  <si>
    <t>メモ機能のルート設計が確認できました。メモの追加・編集・削除・一覧表示が要件どおりに動作することを確認できませんでした。また、バリデーション違反時の入力値復元が要件と一致していません。</t>
  </si>
  <si>
    <t>S-B-08 お知らせ配信（管理者）</t>
  </si>
  <si>
    <t>お知らせ配信機能の大部分が実装されています。退会済受講生への配信除外、およびタイトル・本文の上限値バリデーションが要件と一致していません。</t>
  </si>
  <si>
    <t>S-B-09 面談リマインダー通知（前日・1時間前）</t>
  </si>
  <si>
    <t>S-B-09面談リマインダー通知（前日・1時間前）は、全5項目で減点はありませんでした。この調子で他の機能も仕上げていきましょう。</t>
  </si>
  <si>
    <t>S-A-01 Google Calendar 連携（面談予約）</t>
  </si>
  <si>
    <t>連携完了時のフラッシュメッセージ、解除時のGoogle側のアクセス権失効、空き枠取得時のカレンダー予定反映、Event作成・削除、期限切れトークンの自動更新が要件と一致していません。</t>
  </si>
  <si>
    <t>S-A-02 Gemini AI チャットボット</t>
  </si>
  <si>
    <t>AI相談機能の基本的な実装が確認できました。フル画面での会話作成時のフラッシュメッセージ、機能スイッチOFF時のアクセス制御、APIキー未設定時の送信制御、ウィジェットでの会話ID保持、および初回メッセージの文字数バリデーションが要件と一致していません。</t>
  </si>
  <si>
    <t>S-A-03 Stripe 連携（追加面談購入）</t>
  </si>
  <si>
    <t>Stripe連携の基本的な実装が確認できました。決済完了画面での購入記録の状態表示が要件と一致していません。</t>
  </si>
  <si>
    <t>S-A-04 修了証 PDF 出力</t>
  </si>
  <si>
    <t>修了証機能のルート設計が確認できました。PDF生成・保管、ダウンロード時のファイル名、および保管領域にファイルが無い場合の制御が要件と一致していません。</t>
  </si>
  <si>
    <t>S-A-05 Sanctum Cookie 認証 + JS フロント通知表示</t>
  </si>
  <si>
    <t>認証・通知表示機能の大部分が実装されています。一覧APIの通知種別フィールドと、管理者で通知が0件のときの空状態の表示が要件と一致していません。</t>
  </si>
  <si>
    <t>B-B-01 コーチが担当資格の教材管理にアクセスすると 403</t>
  </si>
  <si>
    <t>B-B-01コーチが担当資格の教材管理にアクセスすると403は全2項目が加点となりました。要件を一つひとつ確認しながら進められたことが伝わってきます。</t>
  </si>
  <si>
    <t>B-B-02 教材管理の階層一覧が並び順を無視して表示される</t>
  </si>
  <si>
    <t>B-B-02教材管理の階層一覧が並び順を無視して表示されるは、全2項目で減点はありませんでした。この調子で他の機能も仕上げていきましょう。</t>
  </si>
  <si>
    <t>B-B-03 公開停止した資格の教材が受講生に閲覧できてしまう</t>
  </si>
  <si>
    <t>B-B-03公開停止した資格の教材が受講生に閲覧できてしまうは、全2項目で減点はありませんでした。この調子で他の機能も仕上げていきましょう。</t>
  </si>
  <si>
    <t>B-B-04 管理者の受講生一覧に退会済みユーザーが表示される</t>
  </si>
  <si>
    <t>B-B-04管理者の受講生一覧に退会済みユーザーが表示されるは、全2項目で要件どおりの実装を確認できました。仕様の読み取りが正確で、大変よくできています。</t>
  </si>
  <si>
    <t>B-B-05 模試の合格点を 100% 超に設定でき誰も合格できなくなる</t>
  </si>
  <si>
    <t>B-B-05模試の合格点を100%超に設定でき誰も合格できなくなるは、全3項目で減点はありませんでした。この調子で他の機能も仕上げていきましょう。</t>
  </si>
  <si>
    <t>B-B-06 招待トークンが使い回せてしまう</t>
  </si>
  <si>
    <t>B-B-06招待トークンが使い回せてしまうは全2項目が加点となりました。要件を一つひとつ確認しながら進められたことが伝わってきます。</t>
  </si>
  <si>
    <t>B-B-12 オンボーディング完了後に再ログインできなくなる</t>
  </si>
  <si>
    <t>B-B-12オンボーディング完了後に再ログインできなくなるは全3項目が加点となりました。要件を一つひとつ確認しながら進められたことが伝わってきます。</t>
  </si>
  <si>
    <t>B-B-13 オンボーディングで確認用パスワードが一致しなくても登録できる</t>
  </si>
  <si>
    <t>B-B-13オンボーディングで確認用パスワードが一致しなくても登録できるは全2項目が加点となりました。要件を一つひとつ確認しながら進められたことが伝わってきます。</t>
  </si>
  <si>
    <t>B-B-16 修了したユーザーがプラン機能にアクセスできてしまう</t>
  </si>
  <si>
    <t>B-B-16修了したユーザーがプラン機能にアクセスできてしまうは、全2項目で減点はありませんでした。この調子で他の機能も仕上げていきましょう。</t>
  </si>
  <si>
    <t>B-B-07 資格分類マスタの削除後に成功メッセージが表示されない</t>
  </si>
  <si>
    <t>B-B-07資格分類マスタの削除後に成功メッセージが表示されないは、全2項目で減点はありませんでした。この調子で他の機能も仕上げていきましょう。</t>
  </si>
  <si>
    <t>B-B-08 目標受験日の更新後にダッシュボードへ遷移してしまう</t>
  </si>
  <si>
    <t>B-B-08目標受験日の更新後にダッシュボードへ遷移してしまうは、全2項目で減点はありませんでした。この調子で他の機能も仕上げていきましょう。</t>
  </si>
  <si>
    <t>B-B-09 受講登録していない資格の教材詳細を直リンクで閲覧できてしまう</t>
  </si>
  <si>
    <t>B-B-09受講登録していない資格の教材詳細を直リンクで閲覧できてしまうは、全2項目で減点はありませんでした。この調子で他の機能も仕上げていきましょう。</t>
  </si>
  <si>
    <t>B-B-10 面談をキャンセルしても面談回数が返却されない</t>
  </si>
  <si>
    <t>B-B-10面談をキャンセルしても面談回数が返却されないは該当項目が加点となりました。要件を一つひとつ確認しながら進められたことが伝わってきます。</t>
  </si>
  <si>
    <t>B-B-11 資格マスタ一覧の状態フィルタが正しく絞り込めない</t>
  </si>
  <si>
    <t>B-B-11資格マスタ一覧の状態フィルタが正しく絞り込めないは全2項目が加点となりました。要件を一つひとつ確認しながら進められたことが伝わってきます。</t>
  </si>
  <si>
    <t>B-B-14 チャットの未読バッジに自分の発言までカウントされる</t>
  </si>
  <si>
    <t>B-B-14チャットの未読バッジに自分の発言までカウントされるは全2項目が加点となりました。要件を一つひとつ確認しながら進められたことが伝わってきます。</t>
  </si>
  <si>
    <t>B-B-15 コーチの受講生一覧に担当外の受講生まで表示される</t>
  </si>
  <si>
    <t>B-B-15コーチの受講生一覧に担当外の受講生まで表示されるについて、全2項目が要件を満たしていることを確認できました。細部まで丁寧に仕上げられており素晴らしいです。</t>
  </si>
  <si>
    <t>B-A-01 面談予約で同一コーチ・同一時刻枠が二重予約される</t>
  </si>
  <si>
    <t>B-A-01面談予約で同一コーチ・同一時刻枠が二重予約されるは、該当項目で減点はありませんでした。この調子で他の機能も仕上げていきましょう。</t>
  </si>
  <si>
    <t>B-A-02 模試の採点結果が常に不合格になる</t>
  </si>
  <si>
    <t>B-A-02模試の採点結果が常に不合格になるは、全3項目で要件どおりの実装を確認できました。仕様の読み取りが正確で、大変よくできています。</t>
  </si>
  <si>
    <t>B-A-03 模試をキャンセルしても学習タームが基礎タームに戻らない</t>
  </si>
  <si>
    <t>B-A-03模試をキャンセルしても学習タームが基礎タームに戻らないは、全2項目で減点はありませんでした。この調子で他の機能も仕上げていきましょう。</t>
  </si>
  <si>
    <t>T-B-01 コーチダッシュボードの担当受講生一覧の N+1 解消</t>
  </si>
  <si>
    <t>T-B-01コーチダッシュボードの担当受講生一覧のN+1解消は該当項目が加点となりました。要件を一つひとつ確認しながら進められたことが伝わってきます。</t>
  </si>
  <si>
    <t>T-B-02 大量レコードを扱う定期実行処理のメモリ最適化（chunk 処理）</t>
  </si>
  <si>
    <t>T-B-02大量レコードを扱う定期実行処理のメモリ最適化（chunk処理）は、該当項目で要件どおりの実装を確認できました。仕様の読み取りが正確で、大変よくできています。</t>
  </si>
  <si>
    <t>T-A-01 模試マスタ一覧の N+1 解消</t>
  </si>
  <si>
    <t>T-A-01模試マスタ一覧のN+1解消について、該当項目が要件を満たしていることを確認できました。細部まで丁寧に仕上げられており素晴らしいです。</t>
  </si>
  <si>
    <t>T-A-02 面談機能のロジックを Action へ分離</t>
  </si>
  <si>
    <t>T-A-02面談機能のロジックをActionへ分離は全4項目が加点となりました。要件を一つひとつ確認しながら進められたことが伝わってきます。</t>
  </si>
  <si>
    <t>T-A-03 学習進捗の集計ロジックを Service へ集約</t>
  </si>
  <si>
    <t>T-A-03学習進捗の集計ロジックをServiceへ集約について、全2項目が要件を満たしていることを確認できました。細部まで丁寧に仕上げられており素晴らしいです。</t>
  </si>
  <si>
    <t>T-A-04 外部 API 連携のモックテスト追加</t>
  </si>
  <si>
    <t>外部API連携のモックテストは追加されています。一方、テスト実行時の外部APIへの実通信と、利用側テストのスタブ化の単位が要件と一致していません。</t>
  </si>
  <si>
    <t>T-A-05 通知・メール配信の非同期化（キュー + worker）</t>
  </si>
  <si>
    <t>T-A-05通知・メール配信の非同期化（キュー+worker）は該当項目が加点となりました。要件を一つひとつ確認しながら進められたことが伝わってきます。</t>
  </si>
  <si>
    <t>T-A-06 管理者ダッシュボード集計のキャッシュ化</t>
  </si>
  <si>
    <t>T-A-06管理者ダッシュボード集計のキャッシュ化は、全2項目で要件どおりの実装を確認できました。仕様の読み取りが正確で、大変よくできています。</t>
  </si>
  <si>
    <t>コード品質</t>
  </si>
  <si>
    <t>基本的な実装が確認できました。一方、Controllerにおけるビジネスロジックの混在、クエリビルダの直接使用、コメントアウトされたコード、インラインバリデーション、お知らせ配信履歴一覧のN+1、および戻り値型宣言の欠落が設計パターンと一致していません。</t>
  </si>
  <si>
    <t>テスト</t>
  </si>
  <si>
    <t>テストは、全3項目で要件どおりの実装を確認できました。仕様の読み取りが正確で、大変よくできています。</t>
  </si>
  <si>
    <t>README</t>
  </si>
  <si>
    <t>READMEについて、該当項目が要件を満たしていることを確認できました。細部まで丁寧に仕上げられており素晴らしいです。</t>
  </si>
  <si>
    <t>補足（採点者記入欄）</t>
  </si>
  <si>
    <t>大項目</t>
  </si>
  <si>
    <t>中項目</t>
  </si>
  <si>
    <t>評価基準</t>
  </si>
  <si>
    <t>評価点</t>
  </si>
  <si>
    <t>可否</t>
  </si>
  <si>
    <t>点数</t>
  </si>
  <si>
    <t>【受講生】
1. /qa-board/create から資格選択 + タイトル + 本文を入力してスレッドを投稿できる
2. 成功時に作成されたスレッド詳細(/qa-board/{thread})へリダイレクトする
3. フラッシュメッセージ「質問を投稿しました。」が表示される</t>
  </si>
  <si>
    <t>【受講生】
1. 投稿者本人がタイトル・本文を編集できる(資格は変更不可)
2. 投稿者以外はアクセスできない
3. 成功時にスレッド詳細へリダイレクトし、フラッシュメッセージ「質問を更新しました。」が表示される</t>
  </si>
  <si>
    <t>【受講生】
1. 投稿者本人は回答 0 件のスレッドのみ削除でき、成功時にフラッシュメッセージ「質問を削除しました。」が表示される
2. 回答有りのスレッドは削除できず、フラッシュエラー「回答が付いているスレッドは削除できません。」が表示される</t>
  </si>
  <si>
    <t>【受講生】
1. 投稿者本人のスレッド詳細にのみ解決マーク / 解除ボタンが表示される(本人以外には表示されない)
2. マークすると解決済みバッジと解決日時が表示される(フラッシュ「質問を解決済にマークしました。」)
3. 解除すると未解決表示に戻り解決日時の表示も消える(フラッシュ「質問を未解決に戻しました。」)</t>
  </si>
  <si>
    <t>【受講生・コーチ】
1. 受講生 / コーチが回答を投稿・編集・自削除できる
2. 編集はインライン編集ではなく回答編集フォームに遷移して行う
3. 各操作の成功時にフラッシュ表示(「回答を投稿しました。」「回答を更新しました。」「回答を削除しました。」)</t>
  </si>
  <si>
    <t>【受講生・コーチ】
1. 受講生は公開済資格すべて、コーチは担当資格のみのスレッドを一覧で見られる
2. 資格別 / 解決状態 / キーワード(タイトル / 本文 / 回答本文の OR 部分一致)で絞り込みできる
3. 質問スレッド作成(回答順ではない)の新着順 20 件 / ページのページネーションが実装されている</t>
  </si>
  <si>
    <t>【受講生・コーチ】
1. スレッド詳細画面で配下回答が古い順(投稿順)で全件表示される(回答ページネーションなし)</t>
  </si>
  <si>
    <t>【管理者】
1. /admin/qa-board 経由で全資格(公開停止資格含む)のスレッドを横断閲覧できる
2. 任意のスレッド / 回答を無条件で削除できる(スレッド削除時に配下回答も連動削除、フラッシュ「質問を削除しました。」)
3. 管理者の画面にはスレッド投稿 / 編集 / 解決マークの操作ボタンは表示されない(モデレーションは削除のみ)</t>
  </si>
  <si>
    <t>【コーチ・受講生】
1. コーチは担当外資格のスレッドを直接 URL 指定 or 一覧クエリで指定しても閲覧できない(資格存在は隠蔽しない)
2. 受講生・コーチは公開停止資格のスレッドを閲覧できない(資格自体が見えない扱い、管理者は引き続き閲覧可)</t>
  </si>
  <si>
    <t>【受講生・コーチ】
1. スレッド投稿 / 編集 / 回答投稿 / 回答編集フォームで違反時に日本語エラーが表示される
a. 資格 = 必須(公開済資格のみ)
b. タイトル = 必須・200 文字以内・全角通常空白のみ不可
c. 本文〈スレッド / 回答〉 = 必須・5000 文字以内・全角通常空白のみ不可
(メッセージ例: 「資格を選択してください。」「タイトルを入力してください。」「タイトルは 200 文字以内で入力してください。」「本文を入力してください。」「本文は 5000 文字以内で入力してください。」)
※文字数上限は blade の maxlength で入力段階から担保(超過入力不可のため超過時のエラー表示の確認は不要)</t>
  </si>
  <si>
    <t>本チケットの機能に対するテスト（Unit / Feature 等）が実装されている</t>
  </si>
  <si>
    <t>【管理者】
1. 面談パック管理画面で一覧を閲覧できる
2. パック名キーワード(部分一致)+ ステータス(下書き / 公開中 / アーカイブ)フィルタで絞り込める
3. 公開中を優先する並び順で表示される</t>
  </si>
  <si>
    <t>【管理者】
1. 新規作成すると下書き状態で作成される
2. 作成された面談パックの詳細画面へリダイレクトし、フラッシュメッセージ「面談パックを作成しました。」が表示される</t>
  </si>
  <si>
    <t>【管理者】
1. 編集画面から基本情報(パック名 / 説明 / 面談回数 / 価格 / Stripe 価格 ID / 並び順)を更新できる
2. このフォームではステータス(下書き / 公開中 / アーカイブ)は変更されない
3. 成功時に詳細画面へリダイレクトし、フラッシュメッセージ「面談パックを更新しました。」が表示される</t>
  </si>
  <si>
    <t>【管理者】
1. 下書き / アーカイブ状態の面談パックを削除すると一覧画面へリダイレクトし、フラッシュメッセージ「面談パックを削除しました。」が表示される
2. 公開中は詳細画面に削除ボタンが表示されず削除できない</t>
  </si>
  <si>
    <t>【管理者】
1. 公開(下書き → 公開中)/ アーカイブ(公開中 → アーカイブ)/ 下書きへ戻す(アーカイブ → 下書き)の 3 操作がそれぞれ遷移元の状態でのみ実行できる
2. 成功時に詳細画面へリダイレクトし、フラッシュ表示(下書き→公開「面談パックを公開しました。」/ 公開中→アーカイブ「面談パックをアーカイブしました。」/ アーカイブ→下書き「面談パックを下書きへ戻しました。」)</t>
  </si>
  <si>
    <t>【管理者】
1. 違反時に日本語エラーが表示される
a. パック名 = 必須・100 文字以内
b. 説明 = 任意・2000 文字以内
c. 面談回数 = 必須・1〜100 の整数
d. 価格 = 必須・0〜1,000,000 円の整数
e. Stripe 価格 ID = 任意・255 文字以内
f. 並び順 = 任意・0 以上の整数
(メッセージ例: 「SKU 名 を入力してください。」「面談回数 は 1 以上の値を指定してください。」「価格(円) は 1000000 以下の値を指定してください。」)</t>
  </si>
  <si>
    <t>【受講生・コーチ】
1. 受講生 / コーチは面談パック管理の画面(一覧 / 詳細 / 新規作成 / 編集)にアクセスできない</t>
  </si>
  <si>
    <t>【管理者】
1. プラン管理の一覧を開くと、プラン名キーワード(部分一致)とステータス(下書き / 公開中 / アーカイブ)で絞り込みできる
2. 各行に契約中の受講者数が表示される
3. 公開中を優先する並び順で表示される</t>
  </si>
  <si>
    <t>【管理者】
1. 新規作成すると下書き状態でプランが作成される
2. 作成したプランの詳細画面へリダイレクトし、フラッシュメッセージ「プランを作成しました。」が表示される</t>
  </si>
  <si>
    <t>【管理者】
1. 編集すると基本情報(プラン名 / 説明 / 受講期間 / 初期付与面談回数 / 並び順)が更新される
2. ステータス(下書き / 公開中 / アーカイブ)は変更されない
3. 詳細画面へリダイレクトし、フラッシュメッセージ「プランを更新しました。」が表示される</t>
  </si>
  <si>
    <t>【管理者】
1. 下書き状態かつ受講者が 0 名のプランを削除すると一覧画面へリダイレクトし、フラッシュメッセージ「プランを削除しました。」が表示される</t>
  </si>
  <si>
    <t>【管理者】
1. 公開中 / アーカイブ状態のプラン、または下書きでも受講者が 1 名以上紐づくプランは削除できず、元画面に戻ってフラッシュエラーが表示される(公開中 / アーカイブ「下書き状態のプランのみ削除できます。先に下書きに戻すか、アーカイブを利用してください。」/ 受講者紐付き「このプランは受講者が紐づいているため削除できません。」)</t>
  </si>
  <si>
    <t>【管理者】
1. 公開(下書き → 公開中)/ アーカイブ(公開中 → アーカイブ)/ 下書きへ戻す(アーカイブ → 下書き)を正しい遷移元状態から実行すると状態が遷移する
2. 詳細画面へリダイレクトし、フラッシュ表示(下書き→公開「プランを公開しました。」/ 公開中→アーカイブ「プランをアーカイブしました。」/ アーカイブ→下書き「プランを下書きへ戻しました。」)</t>
  </si>
  <si>
    <t>【受講生・コーチ】
1. 受講生 / コーチはプラン管理の画面(一覧 / 詳細 / 作成 / 編集)にアクセスできない</t>
  </si>
  <si>
    <t>【管理者】
1. 違反時に日本語エラーが表示される
a. プラン名 = 必須・100 文字以内
b. 説明 = 任意・2000 文字以内
c. 受講期間〈日〉 = 必須・1〜3650 の整数
d. 初期付与面談回数 = 必須・0〜1000 の整数
e. 並び順 = 任意・0 以上の整数
(メッセージ例: 「プラン名 を入力してください。」「受講期間(日) は 3650 以下の値を指定してください。」)</t>
  </si>
  <si>
    <t>【受講生・コーチ】
1. 認証済受講生 / コーチがサイドバー「通知」項目をクリックして /notifications にアクセスできる
2. 自分宛の通知が時系列降順で表示される
3. 「全件」「未読のみ」タブで絞り込みできる</t>
  </si>
  <si>
    <t>【受講生・コーチ】
1. 通知行クリックで未読通知が既読化される
2. 通知種別に応じた業務画面(chat ルーム / Q&amp;A スレッド / 面談一覧)へリダイレクトされる</t>
  </si>
  <si>
    <t>【受講生・コーチ】
1. 「全件既読にする」ボタン押下で自分宛の全未読通知が一括既読化される
2. 通知一覧に戻りフラッシュメッセージ「すべての通知を既読にしました。」が表示され、未読件数が 0 になる</t>
  </si>
  <si>
    <t>【受講生・コーチ】
1. chat ルームで新規メッセージが投稿された際に、送信者を除くルームメンバーの通知一覧に通知が表示され、対象者にメールも届く(送信者本人には表示・送信されない)</t>
  </si>
  <si>
    <t>【受講生・コーチ】
1. Q&amp;A スレッドに新規回答が投稿された際にスレッド投稿者の通知一覧に通知が表示され、メールも届く(回答者 = スレッド投稿者の自己回答時は表示・送信されない)</t>
  </si>
  <si>
    <t>【受講生・コーチ】
1. 受講生が面談を予約した際に担当コーチの通知一覧に通知が表示され、メールも届き、受講生本人には表示・送信されない</t>
  </si>
  <si>
    <t>【受講生・コーチ】
1. 当事者(受講生 or 担当コーチ)が予約済面談をキャンセルした際に相手方の通知一覧に通知が表示され、メールも届き、自身には表示・送信されない</t>
  </si>
  <si>
    <t>【管理者】
1. 管理者は本 4 種いずれの通知も受信しない(通知一覧に表示されない)</t>
  </si>
  <si>
    <t>【受講生・コーチ】
1. 通知一覧には自分宛の通知のみが表示され他ユーザー宛の通知は混ざらない
2. 未認証ユーザーが通知一覧画面にアクセスするとログイン画面にリダイレクトされる</t>
  </si>
  <si>
    <t>【受講生】
1. 自分の受講登録詳細画面で目標追加フォームを送信すると、その受講登録詳細画面へリダイレクトする
2. 未達成状態(達成日時なし)で目標が作成され、フラッシュメッセージ「目標を追加しました。」が表示される</t>
  </si>
  <si>
    <t>【受講生】
1. 本人が目標編集リンクから「目標を編集」ページに遷移して目標 / 目標期日 / 詳細 を更新できる
2. 編集では達成 / 未達成の状態は変わらない
3. 成功時に受講登録詳細画面へリダイレクトし、フラッシュメッセージ「目標を更新しました。」が表示される</t>
  </si>
  <si>
    <t>【受講生】
1. 本人が目標を削除すると受講登録詳細画面へリダイレクトし、フラッシュメッセージ「目標を削除しました。」が表示される</t>
  </si>
  <si>
    <t>【受講生】
1. 本人が達成マーク / 達成解除で目標の達成状態をトグルでき、一覧の達成済 / 未達成の表示が切り替わる
2. いずれも成功時に受講登録詳細画面へリダイレクトし、フラッシュ表示(「目標を達成済にしました。」「目標を未達成に戻しました。」)</t>
  </si>
  <si>
    <t>【受講生・コーチ・管理者】
1. 受講生本人の受講登録詳細画面で自分の目標が未達成優先(達成済は末尾) → 目標期日が近い順 で一覧表示される
2. 未達成 / 達成済 の視覚的区別が付く
3. コーチ / 管理者の閲覧時は一覧は見えるが CRUD / 達成マーク操作ボタンは表示されない</t>
  </si>
  <si>
    <t>【受講生・コーチ・管理者】
1. 他受講生は他人の受講登録詳細画面にアクセスできず目標一覧にも到達できない
2. コーチ / 管理者は目標の編集専用ページにアクセスできない(操作ボタンの非表示と合わせ、本人以外に目標を操作する経路がない)</t>
  </si>
  <si>
    <t>【受講生】
1. 違反時に日本語エラーが表示される
a. タイトル = 必須・100 文字以内
b. 詳細 = 任意・1000 文字以内
c. 目標期日 = 任意・日付形式
(メッセージ例: 「目標 を入力してください。」「目標 は 100 文字以内で入力してください。」「目標期日 は有効な日付ではありません。」)</t>
  </si>
  <si>
    <t>【受講生・コーチ・管理者】
1. 認証済の受講生 / コーチ / 管理者(修了済受講生を含む)が /settings/profile を開け、プロフィール / パスワードの 2 タブが表示される
2. 未認証ユーザーはログイン画面にリダイレクトされる</t>
  </si>
  <si>
    <t>【受講生・コーチ・管理者】
1. 氏名・自己紹介を更新成功すると、プロフィールタブへリダイレクトし成功メッセージ「プロフィールを更新しました。」が表示される
2. メール欄は読み取り専用で表示され画面から編集できない</t>
  </si>
  <si>
    <t>【コーチ・受講生・管理者】
1. コーチが編集フォームを開くと固定面談 URL 入力欄が表示され更新できる(空入力で値がクリアされる)
2. 受講生 / 管理者のプロフィール編集には固定面談 URL 入力欄が表示されない</t>
  </si>
  <si>
    <t>【受講生・コーチ・管理者】
1. 違反時に該当タブで日本語エラーが表示され入力値も復元される
a. 氏名 = 必須・50 文字以内
b. 自己紹介 = 任意・1000 文字以内
c. 固定面談 URL〈コーチのみ〉 = URL 形式・500 文字以内
(メッセージ例: 「氏名 を入力してください。」「氏名 は 50 文字以内で入力してください。」「固定面談 URL の形式が正しくありません。」)</t>
  </si>
  <si>
    <t>【受講生・コーチ・管理者】
1. 現在のパスワードが正しく新パスワードが 8 文字以上 + 確認一致のとき更新され、パスワードタブへリダイレクトし成功メッセージが表示される
2. 現在パスワード不一致 / 新パスワード 8 文字未満 / 確認不一致のときはパスワードタブでエラーが表示されパスワードは更新されない</t>
  </si>
  <si>
    <t>【受講生・コーチ・管理者】
1. アップロード成功でアイコンが新しい画像に差し替わり、プロフィールタブへリダイレクトし成功メッセージ「アバター画像を更新しました。」が表示される
2. 画像でない形式 / 2 MB 超のファイルは拒否されエラーが表示される</t>
  </si>
  <si>
    <t>【受講生・コーチ・管理者】
1. 削除でアイコンが未設定状態(氏名の先頭 1 文字を表示するテキストアバター)に戻り、プロフィールタブへリダイレクトし成功メッセージ「アバター画像を削除しました。」が表示される</t>
  </si>
  <si>
    <t>【コーチ・管理者】
1. 担当資格に登録した受講生の受講登録に対してコーチ(または管理者)がメモを追加すると保存され、元の受講登録詳細画面に戻ってフラッシュメッセージ「メモを追加しました。」が表示される
2. 作成者には操作したコーチ / 管理者が記録される</t>
  </si>
  <si>
    <t>【コーチ・管理者】
1. 自分が作成したメモ(管理者は全メモ)を専用編集ページで本文更新できる
2. 成功時に作成者は変わらず元の画面に戻ってフラッシュメッセージ「メモを更新しました。」が表示される</t>
  </si>
  <si>
    <t>【コーチ・管理者】
1. 自分が作成したメモ(管理者は全メモ)を削除でき、成功時に元の画面に戻ってフラッシュメッセージ「メモを削除しました。」が表示される</t>
  </si>
  <si>
    <t>【コーチ・管理者】
1. 担当資格に登録した受講生の受講登録詳細画面でメモが時系列降順で表示される
2. 自分が作成したメモにのみ編集 / 削除ボタンが出る(他コーチのメモは閲覧のみ)。管理者は全メモに編集 / 削除ボタンが表示される</t>
  </si>
  <si>
    <t>【受講生】
1. 受講生が自分の受講登録詳細画面を開いてもメモのセクション自体が表示されず、メモ系ルートにもアクセスできない</t>
  </si>
  <si>
    <t>【コーチ】
1. コーチは担当していない資格の受講登録詳細にアクセスできずメモにも到達できない
2. 他コーチが作成したメモの編集専用ページにもアクセスできない</t>
  </si>
  <si>
    <t>【コーチ・管理者】
1. 違反時に入力値の再表示とともに日本語エラーが表示される(本文 = 必須・2000 文字以内)
(メッセージ例: 「メモ本文 を入力してください。」「メモ本文 は 2000 文字以内で入力してください。」)</t>
  </si>
  <si>
    <t>【管理者】
1. /admin/announcements にアクセスすると配信履歴が時系列降順で表示される
2. 各行に配信件数 / 配信日時 / 配信対象 が表示される</t>
  </si>
  <si>
    <t>【管理者】
1. 配信作成フォーム(/admin/announcements/create)を開くと、タイトル / 本文 の入力欄、配信対象タイプの選択欄と資格選択 / ユーザー選択の欄が表示される(選択欄は対象タイプによらず常時表示)</t>
  </si>
  <si>
    <t>【管理者】
1. 「全受講生」を指定して配信実行すると、受講中の全受講生に通知 + メールが発火する
2. 配信件数と配信時刻が確定する(フラッシュ「お知らせを配信しました (○件)。」)</t>
  </si>
  <si>
    <t>【管理者】
1. 「資格指定」を指定して配信実行すると、指定資格に学習中で登録している受講中の受講生のみに通知とメールが送信される</t>
  </si>
  <si>
    <t>【管理者】
1. 「ユーザー指定」を指定して配信実行すると、指定された 1 受講生のみに通知とメールが送信される</t>
  </si>
  <si>
    <t>【管理者】
1. 受講中でない受講生(退会済 / 修了済 / 招待中)/ コーチ / 管理者 は配信対象集合から除外され、配信件数にも含まれない</t>
  </si>
  <si>
    <t>【管理者】
1. 配信詳細(/admin/announcements/{announcement})を開くと、タイトル / 本文 / 配信対象 / 配信件数 / 配信日時 / 配信した管理者の名前 が表示される
2. 編集 / 削除 / 再配信ボタンは画面上に存在しない</t>
  </si>
  <si>
    <t>【受講生】
1. 配信されたお知らせは受講生の通知一覧画面に表示される</t>
  </si>
  <si>
    <t>【受講生】
1. 受講生が通知一覧またはポップオーバーでお知らせ通知をクリックすると通知詳細ページに遷移し、お知らせ本文の全文が表示される(他人宛の通知詳細は閲覧できない)</t>
  </si>
  <si>
    <t>【管理者】
1. 配信作成でバリデーションが行われ、違反時に日本語エラーが表示され配信は実行されない
a. タイトル = 必須・200 文字以内
b. 本文 = 必須・5000 文字以内
c. 配信対象タイプ = 必須・全受講生 / 資格指定 / ユーザー指定のいずれか
d. 配信先資格 = 資格指定時のみ必須・既存資格と整合〈他タイプでは指定不可〉
e. 配信先ユーザー = ユーザー指定時のみ必須・既存受講生と整合〈他タイプでは指定不可〉
(メッセージ例: 「タイトルを入力してください。」「本文を入力してください。」「配信対象タイプが『資格指定』のとき、配信対象の資格を選択してください。」「配信対象タイプが『ユーザー指定』のとき、配信対象のユーザーを選択してください。」)</t>
  </si>
  <si>
    <t>【受講生・コーチ】
1. 受講生 / コーチのサイドバーに「お知らせ配信」が表示されず、配信履歴 / 作成フォーム / 配信実行 / 配信詳細 のいずれにもアクセスできない</t>
  </si>
  <si>
    <t>【受講生・コーチ】
1. sail artisan notifications:send-meeting-reminders --window=eve を実行すると、翌日(00:00-23:59)に予約されている面談の当事者(受講生 + 担当コーチ)の通知一覧にリマインダーが表示され、メールも届く</t>
  </si>
  <si>
    <t>【受講生・コーチ】
1. sail artisan notifications:send-meeting-reminders --window=one_hour_before を実行した時刻を基準に、開始 55-65 分後に予約されている面談の当事者の通知一覧にリマインダーが表示され、メールも届く</t>
  </si>
  <si>
    <t>【システム】
1. 同じ面談・同じ配信タイミングで既にリマインダー通知が存在する場合、再実行しても通知は重複して作られない</t>
  </si>
  <si>
    <t>【システム】
1. 予約済み以外の面談(キャンセル済み / 完了済み)はリマインダー対象外で、当事者に通知されない</t>
  </si>
  <si>
    <t>【コーチ・受講生・管理者】
1. コーチが面談設定タブの連携ボタンを押すと Google の認可画面に遷移し、認可完了後は面談設定タブに戻って「連携中」(連携日時付き) + フラッシュ「Googleカレンダーと連携しました。」が表示される
2. 受講生 / 管理者は連携ルートにアクセスできない</t>
  </si>
  <si>
    <t>【コーチ】
1. コーチが解除ボタンを押すと連携情報が削除され、面談設定タブが「未連携」+ フラッシュ「Googleカレンダー連携を解除しました。」に戻る(Google 側のアクセス権も失効する)</t>
  </si>
  <si>
    <t>【受講生】
1. 受講生の予約画面の空き枠で、連携済コーチは Google カレンダーで予定がある時刻が空き枠から外れる
2. 連携なしコーチは Google を参照せず面談可能時間枠 + 既存予約のみで判定される</t>
  </si>
  <si>
    <t>【システム】
1. 連携済コーチへの Google API 呼び出しが失敗してもエラー画面にならず、当該コーチは予定なし扱い(連携なしと同等)で空き枠が表示される</t>
  </si>
  <si>
    <t>【システム】
1. 連携済コーチは面談 Event が作成され、面談に Event 識別子が保存される
2. 連携なしコーチは Event 作成が走らず、識別子なしで予約が成立する
3. Event 作成 API が失敗しても予約自体(面談作成 + 面談回数消費 + 担当コーチ宛通知)は成立し、識別子なしになる</t>
  </si>
  <si>
    <t>【システム】
1. Event 識別子が紐づく面談は Google カレンダーの Event が連動削除される
2. 識別子がない / 削除 API が失敗した場合でもキャンセル自体(キャンセル状態への遷移 + 面談回数返却)は成立する</t>
  </si>
  <si>
    <t>【システム】
1. 連携済コーチのアクセストークンが期限切れの状態で空き枠取得 / Event 作成 / Event 削除が走ると、リフレッシュトークンで自動更新してリトライする
2. 更新も失敗した場合は当該 API をスキップ(連携なし相当のフォールバック)して画面のフローは継続する</t>
  </si>
  <si>
    <t>【受講生】
1. /ai-chat にアクセスした際に、最新の会話の詳細画面に遷移する(会話 0 件の場合は新規相談を促す空状態画面が表示される)</t>
  </si>
  <si>
    <t>【受講生】
1. フル画面の「新しい相談」から会話を作成した際に、作成された会話の詳細画面へリダイレクトし、フラッシュ「新しい相談を開始しました。」が表示される(フル画面からは常に新規作成)
2. 教材セクションのウィジェットから相談を始めた場合は、その Section の既存会話があれば再開され、なければ新規作成される(画面遷移せずウィジェット内で続く)</t>
  </si>
  <si>
    <t>【受講生】
1. メッセージを送信した際に、受講生メッセージが即時表示され、続いて数秒〜十数秒後に AI 応答が会話画面に表示・保存される
2. 最初の AI 応答完了時に会話タイトルが自動生成されて反映される(タイトル自動生成 OFF の場合は暫定タイトルが保持される)</t>
  </si>
  <si>
    <t>【受講生】
1. AI 応答に失敗した場合、受講生メッセージは保存され、AI 応答はエラー状態で表示される(受講生は同じ内容を送り直して再質問できる。案内「AI が応答できませんでした。しばらく時間をおいて再試行してください。」)</t>
  </si>
  <si>
    <t>【受講生】
1. 会話を削除した際に、配下のメッセージも連動削除され、削除後の会話 URL を開いても会話は表示されない</t>
  </si>
  <si>
    <t>【受講生】
1. 機能スイッチ OFF / API キー未設定 / 受講生の日次送信上限超過では、サイドバー・フローティングウィジェットが非表示(機能 OFF 時)か、利用できない旨の日本語案内が表示され、AI 相談画面の表示・メッセージ送信が行われない(API キー未設定「送信に失敗しました。」/ 日次送信上限超過「本日の利用上限に達しました。明日 0:00 以降に再度ご利用ください。」)</t>
  </si>
  <si>
    <t>【受講生・コーチ・管理者】
1. フローティングウィジェットが学習中受講生の全画面に表示される(コーチ / 管理者 / 学習中以外の受講生 / AI 相談画面では非表示)
2. 開閉状態と表示中の会話 ID がページ遷移後も同タブ内で引き継がれる</t>
  </si>
  <si>
    <t>【受講生】
1. 会話作成: 教材セクション = 任意(指定時は既存セクションと整合) / 初回メッセージ = 任意(1〜2000 文字) / 起動経路 = ウィジェット・フル画面のいずれか（いずれも任意のため空でも会話は作成される）
2. タイトル更新: タイトル = 必須・1〜100 文字。空で保存するとタイトル編集モーダルに日本語エラー「タイトルを入力してください。」が表示され更新されない
3. メッセージ送信: メッセージ本文 = 必須・1〜2000 文字。空欄では送信操作が働かず送信されない（チャットの標準 UX。文字数上限は入力欄の maxlength で担保）</t>
  </si>
  <si>
    <t>【受講生・コーチ・管理者】
1. 会話のオーナーのみが自分の会話を閲覧・編集・削除・メッセージ送受信でき、他の受講生は他人の会話にアクセスできない
2. コーチ / 管理者 / 学習中以外の受講生(招待中 / 修了 / 退会)は AI 相談ルートにアクセスできない</t>
  </si>
  <si>
    <t>【受講生】
1. 受講生(学習中)が /meeting-quota/checkout で公開中の面談パック一覧(名前 / 面談回数 / 価格、並び順)を閲覧できる
2. 面談パックを選択して購入を実行すると Stripe Checkout の外部決済画面に遷移する</t>
  </si>
  <si>
    <t>【受講生】
1. Stripe で決済を完了して LMS の決済完了画面に戻ると、購入完了の案内 + ダッシュボードへの導線が表示される(残数加算は決済確定後に反映される旨を含む)</t>
  </si>
  <si>
    <t>【システム】
1. 正当な署名付きの決済イベント(Webhook)は受信され 200 が返る
2. 署名検証に失敗したイベントは 400 が返り、購入記録 / 残数は一切変更されない</t>
  </si>
  <si>
    <t>【システム】
1. 決済完了イベントの受信時、対応する購入記録が成功状態に遷移(決済確定日時 + 決済識別子を記録)する
2. 同一トランザクション内で購入回数分の残数加算記録が作成され、加算直後から受講生の残数集計(ダッシュボード / 予約画面の数値)に反映される</t>
  </si>
  <si>
    <t>【システム】
1. 決済失敗 / 期限切れイベントの受信時、対応する保留状態の購入記録が失敗状態に遷移し、残数加算は行われない</t>
  </si>
  <si>
    <t>【システム】
1. 同一の決済完了イベントが再送されても残数加算は 1 回のみで、再送後も画面の残数表示は増えない(残数会計が崩れない)</t>
  </si>
  <si>
    <t>【システム】
1. 決済完了後に失敗 / 期限切れイベントが逆順で到着しても、成功した購入は取り消されず、画面の残数表示も減らない</t>
  </si>
  <si>
    <t>【システム】
1. 未対応のイベント種別を受信した場合は 200 を返してスキップする(Stripe 側の再送を止める)</t>
  </si>
  <si>
    <t>【コーチ・管理者・受講生】
1. コーチ / 管理者 / 学習中以外の受講生(修了)は購入の選択画面にアクセスできない(招待中・退会はログイン不可のため確認対象外)</t>
  </si>
  <si>
    <t>【受講生】
1. 発行条件(公開中の模試すべてに合格)を満たさない受講登録では発行ボタンが無効表示されて実行できない
2. 発行済(修了済)の受講登録では発行ボタンは表示されず PDF ダウンロード導線に変わる(二重発行の操作経路がない)</t>
  </si>
  <si>
    <t>【受講生】
1. 修了状態の受講登録に対する発行が成功すると、修了証レコード(受講生 / 受講登録 / 資格 / PDF パス / 発行日時)が作成される
2. 同じ処理単位でプライベート保管領域に PDF ファイルが保存される</t>
  </si>
  <si>
    <t>【システム】
1. 生成された PDF に受講生氏名 / 資格名 / 発行日(西暦表記)/ 固定 3 文言(「修了証」「上記の者は、本資格の所定の課程を修了したことを証する」「Certify LMS」)が日本語で文字化けせず描画される
2. 資格コード / 試験区分 / カテゴリ等の過剰情報は含まれない</t>
  </si>
  <si>
    <t>【受講生・コーチ・管理者】
1. 受講生本人 / 担当資格のコーチ / 管理者が自分の権限範囲の修了証ダウンロードにアクセスすると修了証の PDF がダウンロードされる
2. 他受講生の修了証・コーチ担当外資格の修了証はダウンロードできない</t>
  </si>
  <si>
    <t>【受講生】
1. ダウンロード成功時に、修了証 PDF がファイル名 certificate-{修了証 ID}.pdf の添付ファイルとしてダウンロードされる</t>
  </si>
  <si>
    <t>【システム】
1. 修了証レコードは存在するが保管領域に PDF ファイルが見つからない場合、ダウンロードできない</t>
  </si>
  <si>
    <t>【受講生】
1. 受講生のステータスが修了 / 退会前など学習中以外であっても、自分の修了証はダウンロードできる(学習中ガードを適用しない)</t>
  </si>
  <si>
    <t>【受講生・コーチ】
1. 未認証クライアントが通知 JSON API(GET /api/v1/notifications / 単一既読化 / 全件既読化)に直叩きすると 401
2. 認証済受講生 / コーチは自分の通知一覧 JSON を取得できる
3. 認証済ユーザー A が他者(B)の通知 ID を指定して既読化 API を叩くと 403 が返る</t>
  </si>
  <si>
    <t>【管理者】
1. 認証済の管理者でも TopBar のベルからポップオーバーを開くとエラーにならず「通知はありません。」の空状態が表示される(管理者は通知の受信対象外で、一覧 API は 0 件の JSON を返す)</t>
  </si>
  <si>
    <t>【受講生・コーチ】
1. /sanctum/csrf-cookie を GET すると XSRF-TOKEN Cookie がブラウザにセットされる
2. JS フロントは CSRF Cookie 取得後の POST リクエスト(既読化 / 全件既読化)を CSRF トークン付きで通せる</t>
  </si>
  <si>
    <t>【受講生・コーチ】
1. 認証済受講生 / コーチが一覧 API を取得すると、通知種別 / タイトル / プレビュー / 遷移先ルート + パラメータ / 既読化日時 / 作成日時 等の整形フィールドを含む JSON が時系列降順で返る</t>
  </si>
  <si>
    <t>【受講生・コーチ】
1. クエリパラメータの違反時に 422 + JSON 形式の日本語エラーレスポンスが返る(タブ識別子 = 任意・「全件」「未読のみ」のいずれか / 1 ページ件数 = 任意・1〜50 の整数)</t>
  </si>
  <si>
    <t>【受講生・コーチ】
1. 受講生 / コーチが TopBar のベルアイコンをクリックすると通知ポップオーバーが開閉する</t>
  </si>
  <si>
    <t>【受講生・コーチ】
1. ポップオーバーオープン直後に API がフェッチされ、各通知行(未読ドット / タイトル / プレビュー本文 2 行省略 / 経過時間 / 未読行の背景強調)が表示される
2. 取得結果が 0 件の場合は「通知はありません。」の空状態が表示される</t>
  </si>
  <si>
    <t>【受講生・コーチ】
1. ポップオーバー上部のタブを切り替えると、選択タブに応じて API がクエリパラメータを切り替えて再フェッチしリストが更新される
2. 未読タブのラベル右に未読件数バッジが表示される</t>
  </si>
  <si>
    <t>【受講生・コーチ】
1. 未読通知行をクリックすると単一既読化 API が呼ばれて TopBar バッジが -1 される
2. ポップオーバーが閉じてから遷移先ルートに応じた画面(chat ルーム / Q&amp;A スレッド / 面談一覧 / お知らせは通知詳細ページ 等)に遷移する(遷移先ルートが JS 側で未対応のときは /notifications フルページにフォールバック)</t>
  </si>
  <si>
    <t>【受講生・コーチ】
1. 全件既読ボタンを押下すると全件既読化 API が呼ばれ、TopBar バッジが非表示になり、未読タブカウントが 0 になり、リスト領域が再フェッチされる</t>
  </si>
  <si>
    <t>【受講生・コーチ】
1. TopBar に自分宛の未読件数バッジが表示され、未読 0 件で非表示 / 100 件以上で「99+」固定表示になる(ページロード時はサーバ側で算出した値を表示、行クリック / 全件既読化で動的に増減)</t>
  </si>
  <si>
    <t>【コーチ】
1. 担当資格を持つコーチが当該資格の資格管理マスタ画面の詳細（Part / Chapter / Section / 演習問題 / 出題分野マスタ）を正常に開ける
2. 作成・編集・削除・公開非公開・画像アップロードが認可で弾かれず実行できる</t>
  </si>
  <si>
    <t>同梱 tests/Unit/Policies/PartPolicyTest.php::test_coach_assigned_only（修正前は赤）が pass する</t>
  </si>
  <si>
    <t>【管理者・コーチ】
1. 資格管理マスタの各階層一覧（Part 一覧 / Part 詳細の Chapter 一覧 / Chapter 詳細の Section 一覧）が、いずれも並び順（order 昇順）で表示される</t>
  </si>
  <si>
    <t>同梱の並び順テスト（修正前は赤）が pass する
確認方法（テスト）: tests/Feature/Http/Part/IndexTest.php::test_parts_are_listed_in_order_ascending / Part/ShowTest.php::test_chapters_are_listed_in_order_ascending / Chapter/ShowTest.php::test_sections_are_listed_in_order_ascending</t>
  </si>
  <si>
    <t>【受講生】
1. 受講登録済みの受講生は公開中でない（アーカイブ / 下書き）資格の教材詳細（Part / Chapter / Section）を閲覧できない</t>
  </si>
  <si>
    <t>同梱 tests/Feature/Http/Learning/BrowseControllerTest.php::test_show_part_404_when_certification_archived（修正前は赤）が pass する</t>
  </si>
  <si>
    <t>【管理者】
1. ユーザー管理画面で状態フィルタなし、および在籍系（受講中 / 卒業）で絞り込んだとき退会済みユーザーが一覧に表示されない
2. ユーザー管理画面で状態フィルタを「退会済」にしたときのみ退会済みユーザーが表示される</t>
  </si>
  <si>
    <t>同梱 tests/Feature/Http/User/IndexTest.php::test_status_filter_excludes_withdrawn_by_default（修正前は赤）が pass する</t>
  </si>
  <si>
    <t>【管理者】
1. 模試マスタの作成・編集で合格点に 100 を超える値を入力すると日本語のバリデーションエラーが表示され保存されない（設定できるのは 1〜100 のみ）
2. 参考: 「合格点(%) は 1 から 100 の間で指定してください。」</t>
  </si>
  <si>
    <t>【受講生】
1. 模試受験履歴から結果画面にアクセスすると、合格点が適切な模試では得点率が合格点以上で合格・未満で不合格と判定される</t>
  </si>
  <si>
    <t>同梱 tests/Unit/Http/Requests/MockExam/StoreRequestTest.php::test_validation_fails（passing_score 101、修正前は赤）が pass する</t>
  </si>
  <si>
    <t>【受講生】
1. オンボーディングを完了した招待 URL に再アクセスすると、招待リンクが無効である案内画面が表示される
2. オンボーディングを再実行できない</t>
  </si>
  <si>
    <t>同梱 tests/Feature/UseCases/Auth/OnboardActionTest.php::test_marks_invitation_accepted（修正前は赤）が pass する</t>
  </si>
  <si>
    <t>【受講生】
1. オンボーディング完了後に利用状態が在籍中（受講中）へ切り替わる
2. ログアウトしても設定した認証情報で再ログインできる</t>
  </si>
  <si>
    <t>【受講生】
1. オンボーディング完了後、在籍ユーザー向けのプラン機能（資格カタログ / 教材・演習 / 模試 / chat / 質問掲示板 / AI 相談 / 面談予約）にアクセスできる</t>
  </si>
  <si>
    <t>同梱 tests/Feature/UseCases/Auth/OnboardActionTest.php::test_transitions_user_to_in_progress_and_persists_profile（修正前は赤）が pass する</t>
  </si>
  <si>
    <t>【受講生】
1. 「パスワード」と「確認用パスワード」が一致しない場合、日本語のバリデーションエラーが表示されオンボーディングが完了しない（参考: 「パスワード と確認用の入力が一致しません。」）</t>
  </si>
  <si>
    <t>同梱 tests/Feature/Auth/OnboardingTest.php::test_store_rejects_mismatched_password_confirmation（修正前は赤）が pass する</t>
  </si>
  <si>
    <t>【受講生】
1. 修了ユーザーはプラン機能（資格カタログ / 教材・演習 / 模試 / chat / 質問掲示板 / AI 相談 / 面談予約）にアクセスできない
2. 修了ユーザーでもプラン機能ガード対象外（ダッシュボード / 修了証 DL / 受講中資格の閲覧 / 通知 / 設定）には引き続きアクセスできる</t>
  </si>
  <si>
    <t>同梱 tests/Feature/Middleware/EnsureActiveLearningTest.php::test_graduated_user_is_forbidden（修正前は赤）が pass する</t>
  </si>
  <si>
    <t>【管理者】
1. 資格マスタ管理画面のカテゴリから、資格分類の削除に成功すると一覧画面へリダイレクトされる
2. フラッシュメッセージが表示される（参考: 「分類を削除しました。」）</t>
  </si>
  <si>
    <t>同梱 tests/Feature/Http/CertificationCategory/DestroyTest.php::test_admin_can_soft_delete_unused_category（修正前は赤）が pass する</t>
  </si>
  <si>
    <t>【受講生】
1. 受講中資格画面の詳細から、目標受験日の更新に成功するとその受講登録の詳細画面へリダイレクトされる</t>
  </si>
  <si>
    <t>同梱 tests/Feature/Http/Enrollment/UpdateExamDateTest.php::test_student_can_set_own_exam_date（修正前は赤）が pass する</t>
  </si>
  <si>
    <t>【受講生】
1. 受講生は自分が受講登録していない資格の教材詳細（Part / Chapter / Section）を閲覧できない</t>
  </si>
  <si>
    <t>同梱 tests/Feature/Http/Learning/BrowseControllerTest.php::test_show_part_forbidden_for_non_enrolled_student（修正前は赤）が pass する</t>
  </si>
  <si>
    <t>予約済み面談をキャンセルすると消費されていた面談回数 1 回分が残数に返却される（キャンセル後 = キャンセル前 + 1）
確認方法（テスト）: 同梱の tests/Feature/Http/Meeting/MeetingControllerTest.php::test_cancel_refunds_meeting_quota（修正前は失敗）が pass する</t>
  </si>
  <si>
    <t>【管理者】
1. 資格マスタ管理画面の一覧の状態フィルタで「公開中 / 下書き / アーカイブ」を選ぶと、選んだ状態の資格のみが一覧に表示される
2. 状態フィルタを指定しないとき（「全ステータス」）は全状態の資格が表示される</t>
  </si>
  <si>
    <t>同梱 tests/Feature/Http/Certification/IndexTest.php::test_status_filter_returns_only_matching_status（修正前は赤）が pass する</t>
  </si>
  <si>
    <t>【受講生】
1. 未読バッジ（サイドバー「chat対応」の未読ルーム数 / チャット画面のルーム別未読件数）が自分の送ったメッセージをカウントしない</t>
  </si>
  <si>
    <t>同梱 tests/Unit/Services/ChatUnreadCountServiceTest.php::test_message_count_in_room_excludes_own_and_pre_read（修正前は赤）が pass する</t>
  </si>
  <si>
    <t>【コーチ・管理者・受講生】
1. コーチの担当受講生一覧画面には担当として割り当てられた資格の受講生のみが表示され、担当外資格の受講生は表示されない
2. 管理者は受講登録管理画面において全受講生、受講生本人は受講中資格画面において自分の受講登録のみ、という表示範囲は従来どおり維持されている</t>
  </si>
  <si>
    <t>同梱 tests/Feature/Http/CoachStudent/IndexTest.php::test_coach_sees_only_enrollments_in_assigned_certifications（修正前は赤）が pass する</t>
  </si>
  <si>
    <t>同じコーチの同じ時刻枠に複数の予約がほぼ同時に走っても予約は 1 件しか成立せず、2 件目以降は「空きコーチなし」のフラッシュエラーが表示されて拒否され同一コーチが同時刻に二重予約されない
確認方法（テスト）: 同梱の tests/Feature/Http/Meeting/MeetingControllerTest.php::test_store_blocks_double_booking_for_same_coach_and_slot（修正前は失敗）が pass する</t>
  </si>
  <si>
    <t>【受講生】
1. 模試受験履歴の結果画面において、模試提出時の得点率が 0〜100 の百分率で保存される
2. 合格基準点以上で合格・未満で不合格と判定される（合格基準: 全問正解は 100.00 で合格、基準点ぴったりも合格、全問不正解・未解答は 0.00 で不合格）</t>
  </si>
  <si>
    <t>【受講生】
1. 受験履歴一覧・模試試験結果画面・弱点分析ヒートマップ等の集計表示で得点率が 0〜100 スケールで一貫表示される（0〜1 の小数として誤表示されない）</t>
  </si>
  <si>
    <t>同梱 tests/Feature/UseCases/MockExamSession/GradeActionTest.php::test_grades_session_with_mixed_correct_and_wrong_answers（修正前は赤）が pass する</t>
  </si>
  <si>
    <t>【受講生】
1. 受験セッションを作成 → キャンセルし進行中の模試が無くなると、ダッシュボードもしくは受講中資格画面において学習タームが基礎タームに戻る
2. 受験中・提出済・採点完了が 1 件でも残る間は実践タームのまま</t>
  </si>
  <si>
    <t>同梱 tests/Unit/Services/TermJudgementServiceTest.php::test_returns_basic_learning_when_only_canceled_session_exists（修正前は赤）が pass する</t>
  </si>
  <si>
    <t>コーチダッシュボードの担当受講生一覧で受講生情報・担当資格・最終活動日時が一括取得され N+1 が解消されている
確認方法（テスト）: 同梱の tests/Feature/Http/Dashboard/DashboardQueryCountTest.php::test_coach_dashboard_does_not_explode_with_more_enrollments（修正前は失敗）が pass する（担当受講生を増やしても発行クエリ数が増えないことを検証）</t>
  </si>
  <si>
    <t>対象 3 件の定期実行コマンドが、1 回の読み込み件数を超える件数（例: 数百件）を投入してもコマンドが完走し、処理中に絞り込み条件となる状態を更新しても取りこぼしが起きず、対象全件が期待どおり状態遷移する
確認方法（テスト）: 同梱の tests/Feature/Commands/ScheduleCommandChunkTest.php（対象 3 コマンドの全件処理を検証、修正前は失敗）が pass する</t>
  </si>
  <si>
    <t>模試マスタ一覧で、模試の件数が増えても発行クエリ数が増えない（所属資格 / 作成者 / 更新者 / 問題数が一括取得される）
確認方法（テスト）: 同梱の tests/Feature/Http/MockExam/MockExamIndexQueryCountTest.php::test_index_query_count_does_not_grow_with_mock_exam_count（修正前は失敗）が pass する</t>
  </si>
  <si>
    <t>MeetingController の受講生予約 / 当事者キャンセル / コーチメモ upsert の状態変更 3 操作の業務ロジックが単一責務 Action（例: Meeting\StoreAction / CancelAction / UpsertMemoAction）に切り出され、各 Controller メソッドが Action 呼出 + 認可委譲 + レスポンス整形のみの薄いラッパー（業務ロジックの if / 計算 0 行）になっている</t>
  </si>
  <si>
    <t>MeetingController の受講生向け一覧 / コーチ向け一覧 / 面談詳細 / 空き枠取得の取得系 4 メソッドのデータ取得処理が対応する Action（例: Meeting\IndexAction / IndexAsCoachAction / ShowAction / FetchAvailabilityAction）に切り出され、各 Controller メソッドがクエリ組み立てを持たず Action 呼出 + レスポンス整形のみになっている（予約フォーム表示の create / createFallback は対象外）</t>
  </si>
  <si>
    <t>状態変更を伴う Action がトランザクション境界で全副作用を囲み、整合性違反（残面談回数 0 / 枠外 / 候補コーチ 0 名 / 状態遷移不可 / 開始時刻超過 等）を Action 内で面談ドメインの専用例外（例: app/Exceptions/Mentoring/* + InsufficientMeetingQuotaException。クラス名・配置は例で、完全一致は不要）で throw してロールバックする</t>
  </si>
  <si>
    <t>本チケットの機能に対するテスト（Unit / Feature 等）が実装されている（状態変更系 Action の単体テスト + 取得系の振る舞いテストを含む。模範解答: StoreActionTest / CancelActionTest / UpsertMemoActionTest + MeetingControllerTest）</t>
  </si>
  <si>
    <t>学習進捗の集計処理（EnrollmentController::show / ShowEnrollmentAction / FetchStudentDashboardAction で利用）が専用 Service（例: ProgressService）に集約されており、各 Controller / Action 側に進捗集計の重複ロジックが残っていない</t>
  </si>
  <si>
    <t>本チケットの機能に対するテスト（Unit / Feature 等）が実装されている（集約した Service の単体テストを含む。模範解答: ProgressServiceTest）</t>
  </si>
  <si>
    <t>3 つの外部 API 連携（Google Calendar / Gemini AI / Stripe Webhook）それぞれに外部 API へ実接続しないモックテストが追加され、正常系に加えて異常系・境界系（HTTP エラー / 一時エラーからのリトライ / トークン期限切れ・リフレッシュ / 空応答 / 署名の有効・無効・欠落 / 二重配信の冪等性 等）を検証している</t>
  </si>
  <si>
    <t>利用側（面談予約 / キャンセル / 空き枠集計 / 連携設定）のテストが外部ライブラリの低レベル呼出ではなく外部連携のまとまり単位でスタブ化されている</t>
  </si>
  <si>
    <t>テスト実行時に外部 API への実通信が発生せず、外部 API 依存テストをグループ指定で分離実行できる（例: #[Group('external')] + sail bin phpunit --exclude-group external で分離実行でき、通常実行では実通信が起きない）</t>
  </si>
  <si>
    <t>一斉配信が非同期化され、配信処理がリクエストをブロックせず即座に完了し（送信はバックグラウンド、worker 稼働後に各受講生へ届く）、送信が一時失敗した場合は自動リトライ・上限超過は失敗ジョブとして記録される
確認方法（テスト）: 同梱 tests/Unit/Mail/InvitationMailTest.php::test_mailable_implements_should_queue_for_async_delivery（修正前は赤）が pass する</t>
  </si>
  <si>
    <t>全体 KPI と資格別修了率が一定時間キャッシュされ、短時間に連続表示しても重い集計クエリが再実行されない（保存中はデータを直接増やしても表示件数・修了率が変わらない）
確認方法（テスト）: 同梱 tests/Feature/UseCases/Dashboard/AdminDashboardCacheTest.php の test_admin_kpi_is_served_from_cache_on_second_fetch / test_completion_rate_is_served_from_cache_on_second_fetch（キャッシュ未実装では赤）が pass する</t>
  </si>
  <si>
    <t>受講状態の遷移後にダッシュボードを開くと全体 KPI と資格別修了率がともに無効化され最新の集計値が表示される（古い件数・古い修了率が残らない）
確認方法（テスト）: 同梱 AdminDashboardCacheTest.php の test_admin_kpi_cache_is_invalidated_on_enrollment_status_change / test_completion_rate_cache_is_invalidated_on_enrollment_status_change（無効化未実装だと赤）が pass する</t>
  </si>
  <si>
    <t>プロジェクト一式が Laravel Pint で整形されている（sail bin pint --test を実行し「No fixable issues were found」と表示される）</t>
  </si>
  <si>
    <t>追加・変更されたコードが既存の設計パターンに倣っている（Controller を薄く保ち業務ロジックを Action / Service へ切り出す / namespace は Controller=App\Http\Controllers・API=App\Http\Controllers\Api\V1・テスト=Tests\Feature\Http\... の規約に従う。確認は主に Controller）</t>
  </si>
  <si>
    <t>追加・変更されたコードに明らかな規約逸脱がない（変数名に a / x 等の無意味な名前やローマ字を用いない / 不要な use・コメントアウトを残さない / DB 操作は Eloquent・バリデーションは FormRequest で統一）</t>
  </si>
  <si>
    <t>追加された一覧・集計取得に N+1 の新規混入がない（Eager Loading〈with / withCount〉で回避）。客観担保＝パフォーマンス Task の同梱クエリ数テスト、加えて代表箇所（質問一覧 / ダッシュボード集計 / お知らせ履歴）を目視で確認（全 PR の精査は不要）</t>
  </si>
  <si>
    <t>（応用）追加・変更されたコードの型・ドキュメント作法が既存と同水準（引数・戻り値の型宣言 / declare(strict_types=1) / 主要メソッドの PHPDoc に処理内容を記述、引数・戻り値は型宣言で担保）</t>
  </si>
  <si>
    <t>（応用）外部 API キー・シークレット（Google / Gemini / Stripe）が .env で管理され、コードにハードコードされていない</t>
  </si>
  <si>
    <t>sail artisan test で全テストが pass する（同梱の赤テスト＝全 Bug・パフォーマンス Task を解消 + 既存テストを壊さない + 追加されたテストが緑）</t>
  </si>
  <si>
    <t>追加されたテストがスモークでなく振る舞い（DB 反映 / 画面表示 / 認可 / 計算結果）を検証している</t>
  </si>
  <si>
    <t>（応用）追加実装分を含めてテストカバレッジが目標値（80% 以上）を満たす（Story 実装にテストを伴わせないと割り込む水準）</t>
  </si>
  <si>
    <t>README に外部 API 連携の .env 設定等、新規に必要な設定が追記され、その手順で環境構築できる</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</si>
</sst>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8">
    <font>
      <sz val="10.0"/>
      <color rgb="FF000000"/>
      <name val="Arial"/>
      <scheme val="minor"/>
    </font>
    <font>
      <b/>
      <color rgb="FFFFFFFF"/>
      <name val="Arial"/>
      <scheme val="minor"/>
    </font>
    <font>
      <b/>
      <color theme="1"/>
      <name val="Arial"/>
      <scheme val="minor"/>
    </font>
    <font>
      <color theme="1"/>
      <name val="Arial"/>
      <scheme val="minor"/>
    </font>
    <font/>
    <font>
      <color rgb="FF6B7280"/>
      <name val="Arial"/>
      <scheme val="minor"/>
    </font>
    <font>
      <b/>
      <sz val="9.0"/>
      <color rgb="FFFFFFFF"/>
      <name val="Arial"/>
      <scheme val="minor"/>
    </font>
    <font>
      <sz val="9.0"/>
      <color theme="1"/>
      <name val="Arial"/>
      <scheme val="minor"/>
    </font>
  </fonts>
  <fills count="5">
    <fill>
      <patternFill patternType="none"/>
    </fill>
    <fill>
      <patternFill patternType="lightGray"/>
    </fill>
    <fill>
      <patternFill patternType="solid">
        <fgColor rgb="FF073763"/>
        <bgColor rgb="FF073763"/>
      </patternFill>
    </fill>
    <fill>
      <patternFill patternType="solid">
        <fgColor rgb="FFEFEFEF"/>
        <bgColor rgb="FFEFEFEF"/>
      </patternFill>
    </fill>
    <fill>
      <patternFill patternType="solid">
        <fgColor rgb="FFFFFDF5"/>
        <bgColor rgb="FFFFFDF5"/>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1" fillId="0" fontId="2" numFmtId="0" xfId="0" applyAlignment="1" applyBorder="1" applyFont="1">
      <alignment shrinkToFit="0" vertical="top" wrapText="1"/>
    </xf>
    <xf borderId="1" fillId="0" fontId="2" numFmtId="0" xfId="0" applyAlignment="1" applyBorder="1" applyFont="1">
      <alignment horizontal="center" shrinkToFit="0" vertical="top" wrapText="1"/>
    </xf>
    <xf borderId="1" fillId="0" fontId="2" numFmtId="164" xfId="0" applyAlignment="1" applyBorder="1" applyFont="1" applyNumberFormat="1">
      <alignment horizontal="center" shrinkToFit="0" vertical="top" wrapText="1"/>
    </xf>
    <xf borderId="1" fillId="0" fontId="3" numFmtId="0" xfId="0" applyAlignment="1" applyBorder="1" applyFont="1">
      <alignment readingOrder="0" shrinkToFit="0" vertical="top" wrapText="1"/>
    </xf>
    <xf borderId="0" fillId="0" fontId="3" numFmtId="0" xfId="0" applyAlignment="1" applyFont="1">
      <alignment shrinkToFit="0" vertical="top" wrapText="1"/>
    </xf>
    <xf borderId="2" fillId="2" fontId="1" numFmtId="0" xfId="0" applyAlignment="1" applyBorder="1" applyFill="1" applyFont="1">
      <alignment shrinkToFit="0" vertical="top" wrapText="1"/>
    </xf>
    <xf borderId="3" fillId="0" fontId="4" numFmtId="0" xfId="0" applyBorder="1" applyFont="1"/>
    <xf borderId="4" fillId="0" fontId="4" numFmtId="0" xfId="0" applyBorder="1" applyFont="1"/>
    <xf borderId="1" fillId="0" fontId="3" numFmtId="0" xfId="0" applyAlignment="1" applyBorder="1" applyFont="1">
      <alignment horizontal="center" shrinkToFit="0" vertical="top" wrapText="1"/>
    </xf>
    <xf borderId="2" fillId="0" fontId="5" numFmtId="0" xfId="0" applyAlignment="1" applyBorder="1" applyFont="1">
      <alignment shrinkToFit="0" vertical="top" wrapText="1"/>
    </xf>
    <xf borderId="1" fillId="0" fontId="3" numFmtId="0" xfId="0" applyAlignment="1" applyBorder="1" applyFont="1">
      <alignment shrinkToFit="0" vertical="top" wrapText="1"/>
    </xf>
    <xf borderId="1" fillId="0" fontId="3" numFmtId="164" xfId="0" applyAlignment="1" applyBorder="1" applyFont="1" applyNumberFormat="1">
      <alignment horizontal="center" shrinkToFit="0" vertical="top" wrapText="1"/>
    </xf>
    <xf borderId="1" fillId="3" fontId="2" numFmtId="0" xfId="0" applyAlignment="1" applyBorder="1" applyFill="1" applyFont="1">
      <alignment shrinkToFit="0" vertical="top" wrapText="1"/>
    </xf>
    <xf borderId="1" fillId="3" fontId="2" numFmtId="0" xfId="0" applyAlignment="1" applyBorder="1" applyFill="1" applyFont="1">
      <alignment horizontal="center" shrinkToFit="0" vertical="top" wrapText="1"/>
    </xf>
    <xf borderId="1" fillId="3" fontId="2" numFmtId="164" xfId="0" applyAlignment="1" applyBorder="1" applyFill="1" applyFont="1" applyNumberFormat="1">
      <alignment horizontal="center" shrinkToFit="0" vertical="top" wrapText="1"/>
    </xf>
    <xf borderId="1" fillId="3" fontId="3" numFmtId="0" xfId="0" applyAlignment="1" applyBorder="1" applyFill="1" applyFont="1">
      <alignment readingOrder="0" shrinkToFit="0" vertical="top" wrapText="1"/>
    </xf>
    <xf borderId="5" fillId="4" fontId="3" numFmtId="0" xfId="0" applyAlignment="1" applyBorder="1" applyFill="1" applyFont="1">
      <alignment shrinkToFit="0" vertical="top" wrapText="1"/>
    </xf>
    <xf borderId="6" fillId="0" fontId="4" numFmtId="0" xfId="0" applyBorder="1" applyFont="1"/>
    <xf borderId="7" fillId="0" fontId="4" numFmtId="0" xfId="0" applyBorder="1" applyFont="1"/>
    <xf borderId="8" fillId="0" fontId="4" numFmtId="0" xfId="0" applyBorder="1" applyFont="1"/>
    <xf borderId="9" fillId="0" fontId="4" numFmtId="0" xfId="0" applyBorder="1" applyFont="1"/>
    <xf borderId="10" fillId="0" fontId="4" numFmtId="0" xfId="0" applyBorder="1" applyFont="1"/>
    <xf borderId="11" fillId="0" fontId="4" numFmtId="0" xfId="0" applyBorder="1" applyFont="1"/>
    <xf borderId="12" fillId="0" fontId="4" numFmtId="0" xfId="0" applyBorder="1" applyFont="1"/>
    <xf borderId="1" fillId="2" fontId="6" numFmtId="0" xfId="0" applyAlignment="1" applyBorder="1" applyFill="1" applyFont="1">
      <alignment shrinkToFit="0" vertical="top" wrapText="1"/>
    </xf>
    <xf borderId="1" fillId="0" fontId="7" numFmtId="0" xfId="0" applyAlignment="1" applyBorder="1" applyFont="1">
      <alignment shrinkToFit="0" vertical="top" wrapText="1"/>
    </xf>
    <xf borderId="1" fillId="0" fontId="7" numFmtId="0" xfId="0" applyAlignment="1" applyBorder="1" applyFont="1">
      <alignment horizontal="center" shrinkToFit="0" vertical="top" wrapText="1"/>
    </xf>
    <xf borderId="1" fillId="0" fontId="7" numFmtId="0" xfId="0" applyAlignment="1" applyBorder="1" applyFont="1">
      <alignment horizontal="center" readingOrder="0" shrinkToFit="0" vertical="top" wrapText="1"/>
    </xf>
    <xf borderId="0" fillId="0" fontId="7" numFmtId="0" xfId="0" applyAlignment="1" applyFont="1">
      <alignment shrinkToFit="0" vertical="top" wrapText="1"/>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73763"/>
    <outlinePr summaryBelow="0" summaryRight="0"/>
  </sheetPr>
  <sheetViews>
    <sheetView showGridLines="0" workbookViewId="0"/>
  </sheetViews>
  <sheetFormatPr customHeight="1" defaultColWidth="12.63" defaultRowHeight="15.75"/>
  <cols>
    <col customWidth="1" min="1" max="1" width="31.38"/>
    <col customWidth="1" min="2" max="5" width="8.88"/>
    <col customWidth="1" min="6" max="6" width="7.0"/>
    <col customWidth="1" min="7" max="7" width="57.63"/>
  </cols>
  <sheetData>
    <row r="1">
      <c r="A1" s="1" t="s">
        <v>0</v>
      </c>
      <c r="B1" s="1" t="s">
        <v>1</v>
      </c>
      <c r="C1" s="1" t="s">
        <v>2</v>
      </c>
      <c r="D1" s="1" t="s">
        <v>3</v>
      </c>
      <c r="E1" s="1" t="s">
        <v>4</v>
      </c>
      <c r="F1" s="1" t="s">
        <v>5</v>
      </c>
      <c r="G1" s="1" t="s">
        <v>6</v>
      </c>
    </row>
    <row r="2">
      <c r="A2" s="2" t="s">
        <v>0</v>
      </c>
      <c r="B2" s="3">
        <f>SUM(Story!D2:D83)+SUM(Bug!D2:D83)+SUM(Task!D2:D83)+SUM('横断品質'!D2:D83)</f>
        <v>278</v>
      </c>
      <c r="C2" s="3">
        <f>SUM(Story!F2:F83)+SUM(Bug!F2:F83)+SUM(Task!F2:F83)+SUM('横断品質'!F2:F83)</f>
        <v>185</v>
      </c>
      <c r="D2" s="4">
        <f>IFERROR(C2/B2,0)</f>
        <v>0.6654676259</v>
      </c>
      <c r="E2" s="3">
        <f>5*D2</f>
        <v>3.327338129</v>
      </c>
      <c r="F2" s="3" t="str">
        <f>IFS(D2&gt;=0.95,"S",D2&gt;=0.85,"A",D2&gt;=0.7,"B",D2&gt;=0.5,"C",TRUE,"D")</f>
        <v>C</v>
      </c>
      <c r="G2" s="5" t="s">
        <v>7</v>
      </c>
    </row>
    <row r="3">
      <c r="A3" s="6" t="s">
        <v>8</v>
      </c>
    </row>
    <row r="4">
      <c r="A4" s="1" t="s">
        <v>9</v>
      </c>
      <c r="B4" s="1" t="s">
        <v>10</v>
      </c>
      <c r="C4" s="1" t="s">
        <v>11</v>
      </c>
      <c r="D4" s="7" t="s">
        <v>12</v>
      </c>
      <c r="E4" s="8"/>
      <c r="F4" s="8"/>
      <c r="G4" s="9"/>
    </row>
    <row r="5">
      <c r="A5" s="3" t="s">
        <v>13</v>
      </c>
      <c r="B5" s="10" t="s">
        <v>14</v>
      </c>
      <c r="C5" s="10">
        <f>CEILING($B$2*0.95,1)</f>
        <v>265</v>
      </c>
      <c r="D5" s="11" t="s">
        <v>15</v>
      </c>
      <c r="E5" s="8"/>
      <c r="F5" s="8"/>
      <c r="G5" s="9"/>
    </row>
    <row r="6">
      <c r="A6" s="3" t="s">
        <v>16</v>
      </c>
      <c r="B6" s="10" t="s">
        <v>17</v>
      </c>
      <c r="C6" s="10">
        <f>CEILING($B$2*0.85,1)</f>
        <v>237</v>
      </c>
      <c r="D6" s="11" t="s">
        <v>18</v>
      </c>
      <c r="E6" s="8"/>
      <c r="F6" s="8"/>
      <c r="G6" s="9"/>
    </row>
    <row r="7">
      <c r="A7" s="3" t="s">
        <v>19</v>
      </c>
      <c r="B7" s="10" t="s">
        <v>20</v>
      </c>
      <c r="C7" s="10">
        <f>CEILING($B$2*0.7,1)</f>
        <v>195</v>
      </c>
      <c r="D7" s="11" t="s">
        <v>21</v>
      </c>
      <c r="E7" s="8"/>
      <c r="F7" s="8"/>
      <c r="G7" s="9"/>
    </row>
    <row r="8">
      <c r="A8" s="3" t="s">
        <v>22</v>
      </c>
      <c r="B8" s="10" t="s">
        <v>23</v>
      </c>
      <c r="C8" s="10">
        <f>CEILING($B$2*0.5,1)</f>
        <v>139</v>
      </c>
      <c r="D8" s="11" t="s">
        <v>24</v>
      </c>
      <c r="E8" s="8"/>
      <c r="F8" s="8"/>
      <c r="G8" s="9"/>
    </row>
    <row r="9">
      <c r="A9" s="3" t="s">
        <v>25</v>
      </c>
      <c r="B9" s="10" t="s">
        <v>26</v>
      </c>
      <c r="C9" s="10" t="s">
        <v>27</v>
      </c>
      <c r="D9" s="11" t="s">
        <v>8</v>
      </c>
      <c r="E9" s="8"/>
      <c r="F9" s="8"/>
      <c r="G9" s="9"/>
    </row>
    <row r="10">
      <c r="A10" s="6" t="s">
        <v>8</v>
      </c>
    </row>
    <row r="11">
      <c r="A11" s="1" t="s">
        <v>28</v>
      </c>
      <c r="B11" s="1" t="s">
        <v>1</v>
      </c>
      <c r="C11" s="1" t="s">
        <v>2</v>
      </c>
      <c r="D11" s="1" t="s">
        <v>3</v>
      </c>
      <c r="E11" s="1" t="s">
        <v>4</v>
      </c>
      <c r="F11" s="1" t="s">
        <v>5</v>
      </c>
      <c r="G11" s="1" t="s">
        <v>6</v>
      </c>
    </row>
    <row r="12">
      <c r="A12" s="12" t="s">
        <v>29</v>
      </c>
      <c r="B12" s="10">
        <f>SUM(Story!D2:D83)+SUM(Bug!D2:D83)+SUM(Task!D2:D83)</f>
        <v>221</v>
      </c>
      <c r="C12" s="10">
        <f>SUM(Story!F2:F83)+SUM(Bug!F2:F83)+SUM(Task!F2:F83)</f>
        <v>152</v>
      </c>
      <c r="D12" s="13">
        <f t="shared" ref="D12:D13" si="1">IFERROR(C12/B12,0)</f>
        <v>0.6877828054</v>
      </c>
      <c r="E12" s="10">
        <f t="shared" ref="E12:E13" si="2">5*D12</f>
        <v>3.438914027</v>
      </c>
      <c r="F12" s="10" t="str">
        <f t="shared" ref="F12:F13" si="3">IFS(D12&gt;=0.95,"S",D12&gt;=0.85,"A",D12&gt;=0.7,"B",D12&gt;=0.5,"C",TRUE,"D")</f>
        <v>C</v>
      </c>
      <c r="G12" s="5" t="s">
        <v>30</v>
      </c>
    </row>
    <row r="13">
      <c r="A13" s="12" t="s">
        <v>31</v>
      </c>
      <c r="B13" s="10">
        <f>SUM('横断品質'!D2:D83)</f>
        <v>57</v>
      </c>
      <c r="C13" s="10">
        <f>SUM('横断品質'!F2:F83)</f>
        <v>33</v>
      </c>
      <c r="D13" s="13">
        <f t="shared" si="1"/>
        <v>0.5789473684</v>
      </c>
      <c r="E13" s="10">
        <f t="shared" si="2"/>
        <v>2.894736842</v>
      </c>
      <c r="F13" s="10" t="str">
        <f t="shared" si="3"/>
        <v>C</v>
      </c>
      <c r="G13" s="5" t="s">
        <v>32</v>
      </c>
    </row>
    <row r="14">
      <c r="A14" s="6" t="s">
        <v>8</v>
      </c>
    </row>
    <row r="15">
      <c r="A15" s="1" t="s">
        <v>33</v>
      </c>
      <c r="B15" s="1" t="s">
        <v>1</v>
      </c>
      <c r="C15" s="1" t="s">
        <v>2</v>
      </c>
      <c r="D15" s="1" t="s">
        <v>3</v>
      </c>
      <c r="E15" s="1" t="s">
        <v>4</v>
      </c>
      <c r="F15" s="1" t="s">
        <v>5</v>
      </c>
      <c r="G15" s="1" t="s">
        <v>6</v>
      </c>
    </row>
    <row r="16">
      <c r="A16" s="12" t="s">
        <v>34</v>
      </c>
      <c r="B16" s="10">
        <f>SUMIF(Story!$B$2:$B83,"S-B-*",Story!$D$2:$D83)</f>
        <v>82</v>
      </c>
      <c r="C16" s="10">
        <f>SUMIF(Story!$B$2:$B83,"S-B-*",Story!$F$2:$F83)</f>
        <v>41</v>
      </c>
      <c r="D16" s="13">
        <f t="shared" ref="D16:D25" si="4">IFERROR(C16/B16,0)</f>
        <v>0.5</v>
      </c>
      <c r="E16" s="10">
        <f t="shared" ref="E16:E25" si="5">5*D16</f>
        <v>2.5</v>
      </c>
      <c r="F16" s="10" t="str">
        <f t="shared" ref="F16:F25" si="6">IFS(D16&gt;=0.95,"S",D16&gt;=0.85,"A",D16&gt;=0.7,"B",D16&gt;=0.5,"C",TRUE,"D")</f>
        <v>C</v>
      </c>
      <c r="G16" s="5" t="s">
        <v>35</v>
      </c>
    </row>
    <row r="17">
      <c r="A17" s="12" t="s">
        <v>36</v>
      </c>
      <c r="B17" s="10">
        <f>SUMIF(Story!$B$2:$B83,"S-A-*",Story!$D$2:$D83)</f>
        <v>64</v>
      </c>
      <c r="C17" s="10">
        <f>SUMIF(Story!$B$2:$B83,"S-A-*",Story!$F$2:$F83)</f>
        <v>38</v>
      </c>
      <c r="D17" s="13">
        <f t="shared" si="4"/>
        <v>0.59375</v>
      </c>
      <c r="E17" s="10">
        <f t="shared" si="5"/>
        <v>2.96875</v>
      </c>
      <c r="F17" s="10" t="str">
        <f t="shared" si="6"/>
        <v>C</v>
      </c>
      <c r="G17" s="5" t="s">
        <v>37</v>
      </c>
    </row>
    <row r="18">
      <c r="A18" s="12" t="s">
        <v>38</v>
      </c>
      <c r="B18" s="10">
        <f>SUMIF(Bug!$B$2:$B83,"B-B-*",Bug!$D$2:$D83)</f>
        <v>43</v>
      </c>
      <c r="C18" s="10">
        <f>SUMIF(Bug!$B$2:$B83,"B-B-*",Bug!$F$2:$F83)</f>
        <v>43</v>
      </c>
      <c r="D18" s="13">
        <f t="shared" si="4"/>
        <v>1</v>
      </c>
      <c r="E18" s="10">
        <f t="shared" si="5"/>
        <v>5</v>
      </c>
      <c r="F18" s="10" t="str">
        <f t="shared" si="6"/>
        <v>S</v>
      </c>
      <c r="G18" s="5" t="s">
        <v>39</v>
      </c>
    </row>
    <row r="19">
      <c r="A19" s="12" t="s">
        <v>40</v>
      </c>
      <c r="B19" s="10">
        <f>SUMIF(Bug!$B$2:$B83,"B-A-*",Bug!$D$2:$D83)</f>
        <v>10</v>
      </c>
      <c r="C19" s="10">
        <f>SUMIF(Bug!$B$2:$B83,"B-A-*",Bug!$F$2:$F83)</f>
        <v>10</v>
      </c>
      <c r="D19" s="13">
        <f t="shared" si="4"/>
        <v>1</v>
      </c>
      <c r="E19" s="10">
        <f t="shared" si="5"/>
        <v>5</v>
      </c>
      <c r="F19" s="10" t="str">
        <f t="shared" si="6"/>
        <v>S</v>
      </c>
      <c r="G19" s="5" t="s">
        <v>41</v>
      </c>
    </row>
    <row r="20">
      <c r="A20" s="12" t="s">
        <v>42</v>
      </c>
      <c r="B20" s="10">
        <f>SUMIF(Task!$B$2:$B83,"T-B-*",Task!$D$2:$D83)</f>
        <v>4</v>
      </c>
      <c r="C20" s="10">
        <f>SUMIF(Task!$B$2:$B83,"T-B-*",Task!$F$2:$F83)</f>
        <v>4</v>
      </c>
      <c r="D20" s="13">
        <f t="shared" si="4"/>
        <v>1</v>
      </c>
      <c r="E20" s="10">
        <f t="shared" si="5"/>
        <v>5</v>
      </c>
      <c r="F20" s="10" t="str">
        <f t="shared" si="6"/>
        <v>S</v>
      </c>
      <c r="G20" s="5" t="s">
        <v>43</v>
      </c>
    </row>
    <row r="21">
      <c r="A21" s="12" t="s">
        <v>44</v>
      </c>
      <c r="B21" s="10">
        <f>SUMIF(Task!$B$2:$B83,"T-A-*",Task!$D$2:$D83)</f>
        <v>18</v>
      </c>
      <c r="C21" s="10">
        <f>SUMIF(Task!$B$2:$B83,"T-A-*",Task!$F$2:$F83)</f>
        <v>16</v>
      </c>
      <c r="D21" s="13">
        <f t="shared" si="4"/>
        <v>0.8888888889</v>
      </c>
      <c r="E21" s="10">
        <f t="shared" si="5"/>
        <v>4.444444444</v>
      </c>
      <c r="F21" s="10" t="str">
        <f t="shared" si="6"/>
        <v>A</v>
      </c>
      <c r="G21" s="5" t="s">
        <v>45</v>
      </c>
    </row>
    <row r="22">
      <c r="A22" s="12" t="s">
        <v>46</v>
      </c>
      <c r="B22" s="10">
        <f>SUM('横断品質'!D2:D83)-SUMIF('横断品質'!$C$2:$C83,"（応用）*",'横断品質'!$D$2:$D83)</f>
        <v>43</v>
      </c>
      <c r="C22" s="10">
        <f>SUM('横断品質'!F2:F83)-SUMIF('横断品質'!$C$2:$C83,"（応用）*",'横断品質'!$F$2:$F83)</f>
        <v>24</v>
      </c>
      <c r="D22" s="13">
        <f t="shared" si="4"/>
        <v>0.5581395349</v>
      </c>
      <c r="E22" s="10">
        <f t="shared" si="5"/>
        <v>2.790697674</v>
      </c>
      <c r="F22" s="10" t="str">
        <f t="shared" si="6"/>
        <v>C</v>
      </c>
      <c r="G22" s="5" t="s">
        <v>47</v>
      </c>
    </row>
    <row r="23">
      <c r="A23" s="12" t="s">
        <v>48</v>
      </c>
      <c r="B23" s="10">
        <f>SUMIF('横断品質'!$C$2:$C83,"（応用）*",'横断品質'!$D$2:$D83)</f>
        <v>14</v>
      </c>
      <c r="C23" s="10">
        <f>SUMIF('横断品質'!$C$2:$C83,"（応用）*",'横断品質'!$F$2:$F83)</f>
        <v>9</v>
      </c>
      <c r="D23" s="13">
        <f t="shared" si="4"/>
        <v>0.6428571429</v>
      </c>
      <c r="E23" s="10">
        <f t="shared" si="5"/>
        <v>3.214285714</v>
      </c>
      <c r="F23" s="10" t="str">
        <f t="shared" si="6"/>
        <v>C</v>
      </c>
      <c r="G23" s="5" t="s">
        <v>49</v>
      </c>
    </row>
    <row r="24">
      <c r="A24" s="14" t="s">
        <v>50</v>
      </c>
      <c r="B24" s="15">
        <f t="shared" ref="B24:C24" si="7">B16+B18+B20+B22</f>
        <v>172</v>
      </c>
      <c r="C24" s="15">
        <f t="shared" si="7"/>
        <v>112</v>
      </c>
      <c r="D24" s="16">
        <f t="shared" si="4"/>
        <v>0.6511627907</v>
      </c>
      <c r="E24" s="15">
        <f t="shared" si="5"/>
        <v>3.255813953</v>
      </c>
      <c r="F24" s="15" t="str">
        <f t="shared" si="6"/>
        <v>C</v>
      </c>
      <c r="G24" s="17" t="s">
        <v>51</v>
      </c>
    </row>
    <row r="25">
      <c r="A25" s="14" t="s">
        <v>52</v>
      </c>
      <c r="B25" s="15">
        <f t="shared" ref="B25:C25" si="8">B17+B19+B21+B23</f>
        <v>106</v>
      </c>
      <c r="C25" s="15">
        <f t="shared" si="8"/>
        <v>73</v>
      </c>
      <c r="D25" s="16">
        <f t="shared" si="4"/>
        <v>0.6886792453</v>
      </c>
      <c r="E25" s="15">
        <f t="shared" si="5"/>
        <v>3.443396226</v>
      </c>
      <c r="F25" s="15" t="str">
        <f t="shared" si="6"/>
        <v>C</v>
      </c>
      <c r="G25" s="17" t="s">
        <v>53</v>
      </c>
    </row>
    <row r="26">
      <c r="A26" s="6" t="s">
        <v>8</v>
      </c>
    </row>
    <row r="27">
      <c r="A27" s="1" t="s">
        <v>54</v>
      </c>
      <c r="B27" s="1" t="s">
        <v>1</v>
      </c>
      <c r="C27" s="1" t="s">
        <v>2</v>
      </c>
      <c r="D27" s="1" t="s">
        <v>3</v>
      </c>
      <c r="E27" s="1" t="s">
        <v>4</v>
      </c>
      <c r="F27" s="1" t="s">
        <v>5</v>
      </c>
      <c r="G27" s="1" t="s">
        <v>6</v>
      </c>
    </row>
    <row r="28">
      <c r="A28" s="12" t="s">
        <v>55</v>
      </c>
      <c r="B28" s="10">
        <f>SUMIF(Story!$B$2:$B83,$A28,Story!$D$2:$D83)</f>
        <v>14</v>
      </c>
      <c r="C28" s="10">
        <f>SUMIF(Story!$B$2:$B83,$A28,Story!$F$2:$F83)</f>
        <v>7</v>
      </c>
      <c r="D28" s="13">
        <f t="shared" ref="D28:D71" si="9">IFERROR(C28/B28,0)</f>
        <v>0.5</v>
      </c>
      <c r="E28" s="10">
        <f t="shared" ref="E28:E71" si="10">5*D28</f>
        <v>2.5</v>
      </c>
      <c r="F28" s="10" t="str">
        <f t="shared" ref="F28:F71" si="11">IFS(D28&gt;=0.95,"S",D28&gt;=0.85,"A",D28&gt;=0.7,"B",D28&gt;=0.5,"C",TRUE,"D")</f>
        <v>C</v>
      </c>
      <c r="G28" s="5" t="s">
        <v>56</v>
      </c>
    </row>
    <row r="29">
      <c r="A29" s="12" t="s">
        <v>57</v>
      </c>
      <c r="B29" s="10">
        <f>SUMIF(Story!$B$2:$B83,$A29,Story!$D$2:$D83)</f>
        <v>8</v>
      </c>
      <c r="C29" s="10">
        <f>SUMIF(Story!$B$2:$B83,$A29,Story!$F$2:$F83)</f>
        <v>4</v>
      </c>
      <c r="D29" s="13">
        <f t="shared" si="9"/>
        <v>0.5</v>
      </c>
      <c r="E29" s="10">
        <f t="shared" si="10"/>
        <v>2.5</v>
      </c>
      <c r="F29" s="10" t="str">
        <f t="shared" si="11"/>
        <v>C</v>
      </c>
      <c r="G29" s="5" t="s">
        <v>58</v>
      </c>
    </row>
    <row r="30">
      <c r="A30" s="12" t="s">
        <v>59</v>
      </c>
      <c r="B30" s="10">
        <f>SUMIF(Story!$B$2:$B83,$A30,Story!$D$2:$D83)</f>
        <v>9</v>
      </c>
      <c r="C30" s="10">
        <f>SUMIF(Story!$B$2:$B83,$A30,Story!$F$2:$F83)</f>
        <v>4</v>
      </c>
      <c r="D30" s="13">
        <f t="shared" si="9"/>
        <v>0.4444444444</v>
      </c>
      <c r="E30" s="10">
        <f t="shared" si="10"/>
        <v>2.222222222</v>
      </c>
      <c r="F30" s="10" t="str">
        <f t="shared" si="11"/>
        <v>D</v>
      </c>
      <c r="G30" s="5" t="s">
        <v>60</v>
      </c>
    </row>
    <row r="31">
      <c r="A31" s="12" t="s">
        <v>61</v>
      </c>
      <c r="B31" s="10">
        <f>SUMIF(Story!$B$2:$B83,$A31,Story!$D$2:$D83)</f>
        <v>10</v>
      </c>
      <c r="C31" s="10">
        <f>SUMIF(Story!$B$2:$B83,$A31,Story!$F$2:$F83)</f>
        <v>4</v>
      </c>
      <c r="D31" s="13">
        <f t="shared" si="9"/>
        <v>0.4</v>
      </c>
      <c r="E31" s="10">
        <f t="shared" si="10"/>
        <v>2</v>
      </c>
      <c r="F31" s="10" t="str">
        <f t="shared" si="11"/>
        <v>D</v>
      </c>
      <c r="G31" s="5" t="s">
        <v>62</v>
      </c>
    </row>
    <row r="32">
      <c r="A32" s="12" t="s">
        <v>63</v>
      </c>
      <c r="B32" s="10">
        <f>SUMIF(Story!$B$2:$B83,$A32,Story!$D$2:$D83)</f>
        <v>8</v>
      </c>
      <c r="C32" s="10">
        <f>SUMIF(Story!$B$2:$B83,$A32,Story!$F$2:$F83)</f>
        <v>1</v>
      </c>
      <c r="D32" s="13">
        <f t="shared" si="9"/>
        <v>0.125</v>
      </c>
      <c r="E32" s="10">
        <f t="shared" si="10"/>
        <v>0.625</v>
      </c>
      <c r="F32" s="10" t="str">
        <f t="shared" si="11"/>
        <v>D</v>
      </c>
      <c r="G32" s="5" t="s">
        <v>64</v>
      </c>
    </row>
    <row r="33">
      <c r="A33" s="12" t="s">
        <v>65</v>
      </c>
      <c r="B33" s="10">
        <f>SUMIF(Story!$B$2:$B83,$A33,Story!$D$2:$D83)</f>
        <v>8</v>
      </c>
      <c r="C33" s="10">
        <f>SUMIF(Story!$B$2:$B83,$A33,Story!$F$2:$F83)</f>
        <v>5</v>
      </c>
      <c r="D33" s="13">
        <f t="shared" si="9"/>
        <v>0.625</v>
      </c>
      <c r="E33" s="10">
        <f t="shared" si="10"/>
        <v>3.125</v>
      </c>
      <c r="F33" s="10" t="str">
        <f t="shared" si="11"/>
        <v>C</v>
      </c>
      <c r="G33" s="5" t="s">
        <v>66</v>
      </c>
    </row>
    <row r="34">
      <c r="A34" s="12" t="s">
        <v>67</v>
      </c>
      <c r="B34" s="10">
        <f>SUMIF(Story!$B$2:$B83,$A34,Story!$D$2:$D83)</f>
        <v>8</v>
      </c>
      <c r="C34" s="10">
        <f>SUMIF(Story!$B$2:$B83,$A34,Story!$F$2:$F83)</f>
        <v>1</v>
      </c>
      <c r="D34" s="13">
        <f t="shared" si="9"/>
        <v>0.125</v>
      </c>
      <c r="E34" s="10">
        <f t="shared" si="10"/>
        <v>0.625</v>
      </c>
      <c r="F34" s="10" t="str">
        <f t="shared" si="11"/>
        <v>D</v>
      </c>
      <c r="G34" s="5" t="s">
        <v>68</v>
      </c>
    </row>
    <row r="35">
      <c r="A35" s="12" t="s">
        <v>69</v>
      </c>
      <c r="B35" s="10">
        <f>SUMIF(Story!$B$2:$B83,$A35,Story!$D$2:$D83)</f>
        <v>12</v>
      </c>
      <c r="C35" s="10">
        <f>SUMIF(Story!$B$2:$B83,$A35,Story!$F$2:$F83)</f>
        <v>10</v>
      </c>
      <c r="D35" s="13">
        <f t="shared" si="9"/>
        <v>0.8333333333</v>
      </c>
      <c r="E35" s="10">
        <f t="shared" si="10"/>
        <v>4.166666667</v>
      </c>
      <c r="F35" s="10" t="str">
        <f t="shared" si="11"/>
        <v>B</v>
      </c>
      <c r="G35" s="5" t="s">
        <v>70</v>
      </c>
    </row>
    <row r="36">
      <c r="A36" s="12" t="s">
        <v>71</v>
      </c>
      <c r="B36" s="10">
        <f>SUMIF(Story!$B$2:$B83,$A36,Story!$D$2:$D83)</f>
        <v>5</v>
      </c>
      <c r="C36" s="10">
        <f>SUMIF(Story!$B$2:$B83,$A36,Story!$F$2:$F83)</f>
        <v>5</v>
      </c>
      <c r="D36" s="13">
        <f t="shared" si="9"/>
        <v>1</v>
      </c>
      <c r="E36" s="10">
        <f t="shared" si="10"/>
        <v>5</v>
      </c>
      <c r="F36" s="10" t="str">
        <f t="shared" si="11"/>
        <v>S</v>
      </c>
      <c r="G36" s="5" t="s">
        <v>72</v>
      </c>
    </row>
    <row r="37">
      <c r="A37" s="12" t="s">
        <v>73</v>
      </c>
      <c r="B37" s="10">
        <f>SUMIF(Story!$B$2:$B83,$A37,Story!$D$2:$D83)</f>
        <v>13</v>
      </c>
      <c r="C37" s="10">
        <f>SUMIF(Story!$B$2:$B83,$A37,Story!$F$2:$F83)</f>
        <v>1</v>
      </c>
      <c r="D37" s="13">
        <f t="shared" si="9"/>
        <v>0.07692307692</v>
      </c>
      <c r="E37" s="10">
        <f t="shared" si="10"/>
        <v>0.3846153846</v>
      </c>
      <c r="F37" s="10" t="str">
        <f t="shared" si="11"/>
        <v>D</v>
      </c>
      <c r="G37" s="5" t="s">
        <v>74</v>
      </c>
    </row>
    <row r="38">
      <c r="A38" s="12" t="s">
        <v>75</v>
      </c>
      <c r="B38" s="10">
        <f>SUMIF(Story!$B$2:$B83,$A38,Story!$D$2:$D83)</f>
        <v>13</v>
      </c>
      <c r="C38" s="10">
        <f>SUMIF(Story!$B$2:$B83,$A38,Story!$F$2:$F83)</f>
        <v>8</v>
      </c>
      <c r="D38" s="13">
        <f t="shared" si="9"/>
        <v>0.6153846154</v>
      </c>
      <c r="E38" s="10">
        <f t="shared" si="10"/>
        <v>3.076923077</v>
      </c>
      <c r="F38" s="10" t="str">
        <f t="shared" si="11"/>
        <v>C</v>
      </c>
      <c r="G38" s="5" t="s">
        <v>76</v>
      </c>
    </row>
    <row r="39">
      <c r="A39" s="12" t="s">
        <v>77</v>
      </c>
      <c r="B39" s="10">
        <f>SUMIF(Story!$B$2:$B83,$A39,Story!$D$2:$D83)</f>
        <v>15</v>
      </c>
      <c r="C39" s="10">
        <f>SUMIF(Story!$B$2:$B83,$A39,Story!$F$2:$F83)</f>
        <v>12</v>
      </c>
      <c r="D39" s="13">
        <f t="shared" si="9"/>
        <v>0.8</v>
      </c>
      <c r="E39" s="10">
        <f t="shared" si="10"/>
        <v>4</v>
      </c>
      <c r="F39" s="10" t="str">
        <f t="shared" si="11"/>
        <v>B</v>
      </c>
      <c r="G39" s="5" t="s">
        <v>78</v>
      </c>
    </row>
    <row r="40">
      <c r="A40" s="12" t="s">
        <v>79</v>
      </c>
      <c r="B40" s="10">
        <f>SUMIF(Story!$B$2:$B83,$A40,Story!$D$2:$D83)</f>
        <v>8</v>
      </c>
      <c r="C40" s="10">
        <f>SUMIF(Story!$B$2:$B83,$A40,Story!$F$2:$F83)</f>
        <v>4</v>
      </c>
      <c r="D40" s="13">
        <f t="shared" si="9"/>
        <v>0.5</v>
      </c>
      <c r="E40" s="10">
        <f t="shared" si="10"/>
        <v>2.5</v>
      </c>
      <c r="F40" s="10" t="str">
        <f t="shared" si="11"/>
        <v>C</v>
      </c>
      <c r="G40" s="5" t="s">
        <v>80</v>
      </c>
    </row>
    <row r="41">
      <c r="A41" s="12" t="s">
        <v>81</v>
      </c>
      <c r="B41" s="10">
        <f>SUMIF(Story!$B$2:$B83,$A41,Story!$D$2:$D83)</f>
        <v>15</v>
      </c>
      <c r="C41" s="10">
        <f>SUMIF(Story!$B$2:$B83,$A41,Story!$F$2:$F83)</f>
        <v>13</v>
      </c>
      <c r="D41" s="13">
        <f t="shared" si="9"/>
        <v>0.8666666667</v>
      </c>
      <c r="E41" s="10">
        <f t="shared" si="10"/>
        <v>4.333333333</v>
      </c>
      <c r="F41" s="10" t="str">
        <f t="shared" si="11"/>
        <v>A</v>
      </c>
      <c r="G41" s="5" t="s">
        <v>82</v>
      </c>
    </row>
    <row r="42">
      <c r="A42" s="12" t="s">
        <v>83</v>
      </c>
      <c r="B42" s="10">
        <f>SUMIF(Bug!$B$2:$B83,$A42,Bug!$D$2:$D83)</f>
        <v>2</v>
      </c>
      <c r="C42" s="10">
        <f>SUMIF(Bug!$B$2:$B83,$A42,Bug!$F$2:$F83)</f>
        <v>2</v>
      </c>
      <c r="D42" s="13">
        <f t="shared" si="9"/>
        <v>1</v>
      </c>
      <c r="E42" s="10">
        <f t="shared" si="10"/>
        <v>5</v>
      </c>
      <c r="F42" s="10" t="str">
        <f t="shared" si="11"/>
        <v>S</v>
      </c>
      <c r="G42" s="5" t="s">
        <v>84</v>
      </c>
    </row>
    <row r="43">
      <c r="A43" s="12" t="s">
        <v>85</v>
      </c>
      <c r="B43" s="10">
        <f>SUMIF(Bug!$B$2:$B83,$A43,Bug!$D$2:$D83)</f>
        <v>2</v>
      </c>
      <c r="C43" s="10">
        <f>SUMIF(Bug!$B$2:$B83,$A43,Bug!$F$2:$F83)</f>
        <v>2</v>
      </c>
      <c r="D43" s="13">
        <f t="shared" si="9"/>
        <v>1</v>
      </c>
      <c r="E43" s="10">
        <f t="shared" si="10"/>
        <v>5</v>
      </c>
      <c r="F43" s="10" t="str">
        <f t="shared" si="11"/>
        <v>S</v>
      </c>
      <c r="G43" s="5" t="s">
        <v>86</v>
      </c>
    </row>
    <row r="44">
      <c r="A44" s="12" t="s">
        <v>87</v>
      </c>
      <c r="B44" s="10">
        <f>SUMIF(Bug!$B$2:$B83,$A44,Bug!$D$2:$D83)</f>
        <v>2</v>
      </c>
      <c r="C44" s="10">
        <f>SUMIF(Bug!$B$2:$B83,$A44,Bug!$F$2:$F83)</f>
        <v>2</v>
      </c>
      <c r="D44" s="13">
        <f t="shared" si="9"/>
        <v>1</v>
      </c>
      <c r="E44" s="10">
        <f t="shared" si="10"/>
        <v>5</v>
      </c>
      <c r="F44" s="10" t="str">
        <f t="shared" si="11"/>
        <v>S</v>
      </c>
      <c r="G44" s="5" t="s">
        <v>88</v>
      </c>
    </row>
    <row r="45">
      <c r="A45" s="12" t="s">
        <v>89</v>
      </c>
      <c r="B45" s="10">
        <f>SUMIF(Bug!$B$2:$B83,$A45,Bug!$D$2:$D83)</f>
        <v>3</v>
      </c>
      <c r="C45" s="10">
        <f>SUMIF(Bug!$B$2:$B83,$A45,Bug!$F$2:$F83)</f>
        <v>3</v>
      </c>
      <c r="D45" s="13">
        <f t="shared" si="9"/>
        <v>1</v>
      </c>
      <c r="E45" s="10">
        <f t="shared" si="10"/>
        <v>5</v>
      </c>
      <c r="F45" s="10" t="str">
        <f t="shared" si="11"/>
        <v>S</v>
      </c>
      <c r="G45" s="5" t="s">
        <v>90</v>
      </c>
    </row>
    <row r="46">
      <c r="A46" s="12" t="s">
        <v>91</v>
      </c>
      <c r="B46" s="10">
        <f>SUMIF(Bug!$B$2:$B83,$A46,Bug!$D$2:$D83)</f>
        <v>3</v>
      </c>
      <c r="C46" s="10">
        <f>SUMIF(Bug!$B$2:$B83,$A46,Bug!$F$2:$F83)</f>
        <v>3</v>
      </c>
      <c r="D46" s="13">
        <f t="shared" si="9"/>
        <v>1</v>
      </c>
      <c r="E46" s="10">
        <f t="shared" si="10"/>
        <v>5</v>
      </c>
      <c r="F46" s="10" t="str">
        <f t="shared" si="11"/>
        <v>S</v>
      </c>
      <c r="G46" s="5" t="s">
        <v>92</v>
      </c>
    </row>
    <row r="47">
      <c r="A47" s="12" t="s">
        <v>93</v>
      </c>
      <c r="B47" s="10">
        <f>SUMIF(Bug!$B$2:$B83,$A47,Bug!$D$2:$D83)</f>
        <v>3</v>
      </c>
      <c r="C47" s="10">
        <f>SUMIF(Bug!$B$2:$B83,$A47,Bug!$F$2:$F83)</f>
        <v>3</v>
      </c>
      <c r="D47" s="13">
        <f t="shared" si="9"/>
        <v>1</v>
      </c>
      <c r="E47" s="10">
        <f t="shared" si="10"/>
        <v>5</v>
      </c>
      <c r="F47" s="10" t="str">
        <f t="shared" si="11"/>
        <v>S</v>
      </c>
      <c r="G47" s="5" t="s">
        <v>94</v>
      </c>
    </row>
    <row r="48">
      <c r="A48" s="12" t="s">
        <v>95</v>
      </c>
      <c r="B48" s="10">
        <f>SUMIF(Bug!$B$2:$B83,$A48,Bug!$D$2:$D83)</f>
        <v>4</v>
      </c>
      <c r="C48" s="10">
        <f>SUMIF(Bug!$B$2:$B83,$A48,Bug!$F$2:$F83)</f>
        <v>4</v>
      </c>
      <c r="D48" s="13">
        <f t="shared" si="9"/>
        <v>1</v>
      </c>
      <c r="E48" s="10">
        <f t="shared" si="10"/>
        <v>5</v>
      </c>
      <c r="F48" s="10" t="str">
        <f t="shared" si="11"/>
        <v>S</v>
      </c>
      <c r="G48" s="5" t="s">
        <v>96</v>
      </c>
    </row>
    <row r="49">
      <c r="A49" s="12" t="s">
        <v>97</v>
      </c>
      <c r="B49" s="10">
        <f>SUMIF(Bug!$B$2:$B83,$A49,Bug!$D$2:$D83)</f>
        <v>2</v>
      </c>
      <c r="C49" s="10">
        <f>SUMIF(Bug!$B$2:$B83,$A49,Bug!$F$2:$F83)</f>
        <v>2</v>
      </c>
      <c r="D49" s="13">
        <f t="shared" si="9"/>
        <v>1</v>
      </c>
      <c r="E49" s="10">
        <f t="shared" si="10"/>
        <v>5</v>
      </c>
      <c r="F49" s="10" t="str">
        <f t="shared" si="11"/>
        <v>S</v>
      </c>
      <c r="G49" s="5" t="s">
        <v>98</v>
      </c>
    </row>
    <row r="50">
      <c r="A50" s="12" t="s">
        <v>99</v>
      </c>
      <c r="B50" s="10">
        <f>SUMIF(Bug!$B$2:$B83,$A50,Bug!$D$2:$D83)</f>
        <v>4</v>
      </c>
      <c r="C50" s="10">
        <f>SUMIF(Bug!$B$2:$B83,$A50,Bug!$F$2:$F83)</f>
        <v>4</v>
      </c>
      <c r="D50" s="13">
        <f t="shared" si="9"/>
        <v>1</v>
      </c>
      <c r="E50" s="10">
        <f t="shared" si="10"/>
        <v>5</v>
      </c>
      <c r="F50" s="10" t="str">
        <f t="shared" si="11"/>
        <v>S</v>
      </c>
      <c r="G50" s="5" t="s">
        <v>100</v>
      </c>
    </row>
    <row r="51">
      <c r="A51" s="12" t="s">
        <v>101</v>
      </c>
      <c r="B51" s="10">
        <f>SUMIF(Bug!$B$2:$B83,$A51,Bug!$D$2:$D83)</f>
        <v>2</v>
      </c>
      <c r="C51" s="10">
        <f>SUMIF(Bug!$B$2:$B83,$A51,Bug!$F$2:$F83)</f>
        <v>2</v>
      </c>
      <c r="D51" s="13">
        <f t="shared" si="9"/>
        <v>1</v>
      </c>
      <c r="E51" s="10">
        <f t="shared" si="10"/>
        <v>5</v>
      </c>
      <c r="F51" s="10" t="str">
        <f t="shared" si="11"/>
        <v>S</v>
      </c>
      <c r="G51" s="5" t="s">
        <v>102</v>
      </c>
    </row>
    <row r="52">
      <c r="A52" s="12" t="s">
        <v>103</v>
      </c>
      <c r="B52" s="10">
        <f>SUMIF(Bug!$B$2:$B83,$A52,Bug!$D$2:$D83)</f>
        <v>2</v>
      </c>
      <c r="C52" s="10">
        <f>SUMIF(Bug!$B$2:$B83,$A52,Bug!$F$2:$F83)</f>
        <v>2</v>
      </c>
      <c r="D52" s="13">
        <f t="shared" si="9"/>
        <v>1</v>
      </c>
      <c r="E52" s="10">
        <f t="shared" si="10"/>
        <v>5</v>
      </c>
      <c r="F52" s="10" t="str">
        <f t="shared" si="11"/>
        <v>S</v>
      </c>
      <c r="G52" s="5" t="s">
        <v>104</v>
      </c>
    </row>
    <row r="53">
      <c r="A53" s="12" t="s">
        <v>105</v>
      </c>
      <c r="B53" s="10">
        <f>SUMIF(Bug!$B$2:$B83,$A53,Bug!$D$2:$D83)</f>
        <v>3</v>
      </c>
      <c r="C53" s="10">
        <f>SUMIF(Bug!$B$2:$B83,$A53,Bug!$F$2:$F83)</f>
        <v>3</v>
      </c>
      <c r="D53" s="13">
        <f t="shared" si="9"/>
        <v>1</v>
      </c>
      <c r="E53" s="10">
        <f t="shared" si="10"/>
        <v>5</v>
      </c>
      <c r="F53" s="10" t="str">
        <f t="shared" si="11"/>
        <v>S</v>
      </c>
      <c r="G53" s="5" t="s">
        <v>106</v>
      </c>
    </row>
    <row r="54">
      <c r="A54" s="12" t="s">
        <v>107</v>
      </c>
      <c r="B54" s="10">
        <f>SUMIF(Bug!$B$2:$B83,$A54,Bug!$D$2:$D83)</f>
        <v>2</v>
      </c>
      <c r="C54" s="10">
        <f>SUMIF(Bug!$B$2:$B83,$A54,Bug!$F$2:$F83)</f>
        <v>2</v>
      </c>
      <c r="D54" s="13">
        <f t="shared" si="9"/>
        <v>1</v>
      </c>
      <c r="E54" s="10">
        <f t="shared" si="10"/>
        <v>5</v>
      </c>
      <c r="F54" s="10" t="str">
        <f t="shared" si="11"/>
        <v>S</v>
      </c>
      <c r="G54" s="5" t="s">
        <v>108</v>
      </c>
    </row>
    <row r="55">
      <c r="A55" s="12" t="s">
        <v>109</v>
      </c>
      <c r="B55" s="10">
        <f>SUMIF(Bug!$B$2:$B83,$A55,Bug!$D$2:$D83)</f>
        <v>3</v>
      </c>
      <c r="C55" s="10">
        <f>SUMIF(Bug!$B$2:$B83,$A55,Bug!$F$2:$F83)</f>
        <v>3</v>
      </c>
      <c r="D55" s="13">
        <f t="shared" si="9"/>
        <v>1</v>
      </c>
      <c r="E55" s="10">
        <f t="shared" si="10"/>
        <v>5</v>
      </c>
      <c r="F55" s="10" t="str">
        <f t="shared" si="11"/>
        <v>S</v>
      </c>
      <c r="G55" s="5" t="s">
        <v>110</v>
      </c>
    </row>
    <row r="56">
      <c r="A56" s="12" t="s">
        <v>111</v>
      </c>
      <c r="B56" s="10">
        <f>SUMIF(Bug!$B$2:$B83,$A56,Bug!$D$2:$D83)</f>
        <v>2</v>
      </c>
      <c r="C56" s="10">
        <f>SUMIF(Bug!$B$2:$B83,$A56,Bug!$F$2:$F83)</f>
        <v>2</v>
      </c>
      <c r="D56" s="13">
        <f t="shared" si="9"/>
        <v>1</v>
      </c>
      <c r="E56" s="10">
        <f t="shared" si="10"/>
        <v>5</v>
      </c>
      <c r="F56" s="10" t="str">
        <f t="shared" si="11"/>
        <v>S</v>
      </c>
      <c r="G56" s="5" t="s">
        <v>112</v>
      </c>
    </row>
    <row r="57">
      <c r="A57" s="12" t="s">
        <v>113</v>
      </c>
      <c r="B57" s="10">
        <f>SUMIF(Bug!$B$2:$B83,$A57,Bug!$D$2:$D83)</f>
        <v>4</v>
      </c>
      <c r="C57" s="10">
        <f>SUMIF(Bug!$B$2:$B83,$A57,Bug!$F$2:$F83)</f>
        <v>4</v>
      </c>
      <c r="D57" s="13">
        <f t="shared" si="9"/>
        <v>1</v>
      </c>
      <c r="E57" s="10">
        <f t="shared" si="10"/>
        <v>5</v>
      </c>
      <c r="F57" s="10" t="str">
        <f t="shared" si="11"/>
        <v>S</v>
      </c>
      <c r="G57" s="5" t="s">
        <v>114</v>
      </c>
    </row>
    <row r="58">
      <c r="A58" s="12" t="s">
        <v>115</v>
      </c>
      <c r="B58" s="10">
        <f>SUMIF(Bug!$B$2:$B83,$A58,Bug!$D$2:$D83)</f>
        <v>3</v>
      </c>
      <c r="C58" s="10">
        <f>SUMIF(Bug!$B$2:$B83,$A58,Bug!$F$2:$F83)</f>
        <v>3</v>
      </c>
      <c r="D58" s="13">
        <f t="shared" si="9"/>
        <v>1</v>
      </c>
      <c r="E58" s="10">
        <f t="shared" si="10"/>
        <v>5</v>
      </c>
      <c r="F58" s="10" t="str">
        <f t="shared" si="11"/>
        <v>S</v>
      </c>
      <c r="G58" s="5" t="s">
        <v>116</v>
      </c>
    </row>
    <row r="59">
      <c r="A59" s="12" t="s">
        <v>117</v>
      </c>
      <c r="B59" s="10">
        <f>SUMIF(Bug!$B$2:$B83,$A59,Bug!$D$2:$D83)</f>
        <v>4</v>
      </c>
      <c r="C59" s="10">
        <f>SUMIF(Bug!$B$2:$B83,$A59,Bug!$F$2:$F83)</f>
        <v>4</v>
      </c>
      <c r="D59" s="13">
        <f t="shared" si="9"/>
        <v>1</v>
      </c>
      <c r="E59" s="10">
        <f t="shared" si="10"/>
        <v>5</v>
      </c>
      <c r="F59" s="10" t="str">
        <f t="shared" si="11"/>
        <v>S</v>
      </c>
      <c r="G59" s="5" t="s">
        <v>118</v>
      </c>
    </row>
    <row r="60">
      <c r="A60" s="12" t="s">
        <v>119</v>
      </c>
      <c r="B60" s="10">
        <f>SUMIF(Bug!$B$2:$B83,$A60,Bug!$D$2:$D83)</f>
        <v>3</v>
      </c>
      <c r="C60" s="10">
        <f>SUMIF(Bug!$B$2:$B83,$A60,Bug!$F$2:$F83)</f>
        <v>3</v>
      </c>
      <c r="D60" s="13">
        <f t="shared" si="9"/>
        <v>1</v>
      </c>
      <c r="E60" s="10">
        <f t="shared" si="10"/>
        <v>5</v>
      </c>
      <c r="F60" s="10" t="str">
        <f t="shared" si="11"/>
        <v>S</v>
      </c>
      <c r="G60" s="5" t="s">
        <v>120</v>
      </c>
    </row>
    <row r="61">
      <c r="A61" s="12" t="s">
        <v>121</v>
      </c>
      <c r="B61" s="10">
        <f>SUMIF(Task!$B$2:$B83,$A61,Task!$D$2:$D83)</f>
        <v>2</v>
      </c>
      <c r="C61" s="10">
        <f>SUMIF(Task!$B$2:$B83,$A61,Task!$F$2:$F83)</f>
        <v>2</v>
      </c>
      <c r="D61" s="13">
        <f t="shared" si="9"/>
        <v>1</v>
      </c>
      <c r="E61" s="10">
        <f t="shared" si="10"/>
        <v>5</v>
      </c>
      <c r="F61" s="10" t="str">
        <f t="shared" si="11"/>
        <v>S</v>
      </c>
      <c r="G61" s="5" t="s">
        <v>122</v>
      </c>
    </row>
    <row r="62">
      <c r="A62" s="12" t="s">
        <v>123</v>
      </c>
      <c r="B62" s="10">
        <f>SUMIF(Task!$B$2:$B83,$A62,Task!$D$2:$D83)</f>
        <v>2</v>
      </c>
      <c r="C62" s="10">
        <f>SUMIF(Task!$B$2:$B83,$A62,Task!$F$2:$F83)</f>
        <v>2</v>
      </c>
      <c r="D62" s="13">
        <f t="shared" si="9"/>
        <v>1</v>
      </c>
      <c r="E62" s="10">
        <f t="shared" si="10"/>
        <v>5</v>
      </c>
      <c r="F62" s="10" t="str">
        <f t="shared" si="11"/>
        <v>S</v>
      </c>
      <c r="G62" s="5" t="s">
        <v>124</v>
      </c>
    </row>
    <row r="63">
      <c r="A63" s="12" t="s">
        <v>125</v>
      </c>
      <c r="B63" s="10">
        <f>SUMIF(Task!$B$2:$B83,$A63,Task!$D$2:$D83)</f>
        <v>2</v>
      </c>
      <c r="C63" s="10">
        <f>SUMIF(Task!$B$2:$B83,$A63,Task!$F$2:$F83)</f>
        <v>2</v>
      </c>
      <c r="D63" s="13">
        <f t="shared" si="9"/>
        <v>1</v>
      </c>
      <c r="E63" s="10">
        <f t="shared" si="10"/>
        <v>5</v>
      </c>
      <c r="F63" s="10" t="str">
        <f t="shared" si="11"/>
        <v>S</v>
      </c>
      <c r="G63" s="5" t="s">
        <v>126</v>
      </c>
    </row>
    <row r="64">
      <c r="A64" s="12" t="s">
        <v>127</v>
      </c>
      <c r="B64" s="10">
        <f>SUMIF(Task!$B$2:$B83,$A64,Task!$D$2:$D83)</f>
        <v>5</v>
      </c>
      <c r="C64" s="10">
        <f>SUMIF(Task!$B$2:$B83,$A64,Task!$F$2:$F83)</f>
        <v>5</v>
      </c>
      <c r="D64" s="13">
        <f t="shared" si="9"/>
        <v>1</v>
      </c>
      <c r="E64" s="10">
        <f t="shared" si="10"/>
        <v>5</v>
      </c>
      <c r="F64" s="10" t="str">
        <f t="shared" si="11"/>
        <v>S</v>
      </c>
      <c r="G64" s="5" t="s">
        <v>128</v>
      </c>
    </row>
    <row r="65">
      <c r="A65" s="12" t="s">
        <v>129</v>
      </c>
      <c r="B65" s="10">
        <f>SUMIF(Task!$B$2:$B83,$A65,Task!$D$2:$D83)</f>
        <v>3</v>
      </c>
      <c r="C65" s="10">
        <f>SUMIF(Task!$B$2:$B83,$A65,Task!$F$2:$F83)</f>
        <v>3</v>
      </c>
      <c r="D65" s="13">
        <f t="shared" si="9"/>
        <v>1</v>
      </c>
      <c r="E65" s="10">
        <f t="shared" si="10"/>
        <v>5</v>
      </c>
      <c r="F65" s="10" t="str">
        <f t="shared" si="11"/>
        <v>S</v>
      </c>
      <c r="G65" s="5" t="s">
        <v>130</v>
      </c>
    </row>
    <row r="66">
      <c r="A66" s="12" t="s">
        <v>131</v>
      </c>
      <c r="B66" s="10">
        <f>SUMIF(Task!$B$2:$B83,$A66,Task!$D$2:$D83)</f>
        <v>4</v>
      </c>
      <c r="C66" s="10">
        <f>SUMIF(Task!$B$2:$B83,$A66,Task!$F$2:$F83)</f>
        <v>2</v>
      </c>
      <c r="D66" s="13">
        <f t="shared" si="9"/>
        <v>0.5</v>
      </c>
      <c r="E66" s="10">
        <f t="shared" si="10"/>
        <v>2.5</v>
      </c>
      <c r="F66" s="10" t="str">
        <f t="shared" si="11"/>
        <v>C</v>
      </c>
      <c r="G66" s="5" t="s">
        <v>132</v>
      </c>
    </row>
    <row r="67">
      <c r="A67" s="12" t="s">
        <v>133</v>
      </c>
      <c r="B67" s="10">
        <f>SUMIF(Task!$B$2:$B83,$A67,Task!$D$2:$D83)</f>
        <v>2</v>
      </c>
      <c r="C67" s="10">
        <f>SUMIF(Task!$B$2:$B83,$A67,Task!$F$2:$F83)</f>
        <v>2</v>
      </c>
      <c r="D67" s="13">
        <f t="shared" si="9"/>
        <v>1</v>
      </c>
      <c r="E67" s="10">
        <f t="shared" si="10"/>
        <v>5</v>
      </c>
      <c r="F67" s="10" t="str">
        <f t="shared" si="11"/>
        <v>S</v>
      </c>
      <c r="G67" s="5" t="s">
        <v>134</v>
      </c>
    </row>
    <row r="68">
      <c r="A68" s="12" t="s">
        <v>135</v>
      </c>
      <c r="B68" s="10">
        <f>SUMIF(Task!$B$2:$B83,$A68,Task!$D$2:$D83)</f>
        <v>2</v>
      </c>
      <c r="C68" s="10">
        <f>SUMIF(Task!$B$2:$B83,$A68,Task!$F$2:$F83)</f>
        <v>2</v>
      </c>
      <c r="D68" s="13">
        <f t="shared" si="9"/>
        <v>1</v>
      </c>
      <c r="E68" s="10">
        <f t="shared" si="10"/>
        <v>5</v>
      </c>
      <c r="F68" s="10" t="str">
        <f t="shared" si="11"/>
        <v>S</v>
      </c>
      <c r="G68" s="5" t="s">
        <v>136</v>
      </c>
    </row>
    <row r="69">
      <c r="A69" s="12" t="s">
        <v>137</v>
      </c>
      <c r="B69" s="10">
        <f>SUMIF('横断品質'!$B$2:$B83,$A69,'横断品質'!$D$2:$D83)</f>
        <v>31</v>
      </c>
      <c r="C69" s="10">
        <f>SUMIF('横断品質'!$B$2:$B83,$A69,'横断品質'!$F$2:$F83)</f>
        <v>7</v>
      </c>
      <c r="D69" s="13">
        <f t="shared" si="9"/>
        <v>0.2258064516</v>
      </c>
      <c r="E69" s="10">
        <f t="shared" si="10"/>
        <v>1.129032258</v>
      </c>
      <c r="F69" s="10" t="str">
        <f t="shared" si="11"/>
        <v>D</v>
      </c>
      <c r="G69" s="5" t="s">
        <v>138</v>
      </c>
    </row>
    <row r="70">
      <c r="A70" s="12" t="s">
        <v>139</v>
      </c>
      <c r="B70" s="10">
        <f>SUMIF('横断品質'!$B$2:$B83,$A70,'横断品質'!$D$2:$D83)</f>
        <v>21</v>
      </c>
      <c r="C70" s="10">
        <f>SUMIF('横断品質'!$B$2:$B83,$A70,'横断品質'!$F$2:$F83)</f>
        <v>21</v>
      </c>
      <c r="D70" s="13">
        <f t="shared" si="9"/>
        <v>1</v>
      </c>
      <c r="E70" s="10">
        <f t="shared" si="10"/>
        <v>5</v>
      </c>
      <c r="F70" s="10" t="str">
        <f t="shared" si="11"/>
        <v>S</v>
      </c>
      <c r="G70" s="5" t="s">
        <v>140</v>
      </c>
    </row>
    <row r="71">
      <c r="A71" s="12" t="s">
        <v>141</v>
      </c>
      <c r="B71" s="10">
        <f>SUMIF('横断品質'!$B$2:$B83,$A71,'横断品質'!$D$2:$D83)</f>
        <v>5</v>
      </c>
      <c r="C71" s="10">
        <f>SUMIF('横断品質'!$B$2:$B83,$A71,'横断品質'!$F$2:$F83)</f>
        <v>5</v>
      </c>
      <c r="D71" s="13">
        <f t="shared" si="9"/>
        <v>1</v>
      </c>
      <c r="E71" s="10">
        <f t="shared" si="10"/>
        <v>5</v>
      </c>
      <c r="F71" s="10" t="str">
        <f t="shared" si="11"/>
        <v>S</v>
      </c>
      <c r="G71" s="5" t="s">
        <v>142</v>
      </c>
    </row>
    <row r="72">
      <c r="A72" s="6" t="s">
        <v>8</v>
      </c>
    </row>
    <row r="73">
      <c r="A73" s="7" t="s">
        <v>143</v>
      </c>
      <c r="B73" s="8"/>
      <c r="C73" s="8"/>
      <c r="D73" s="8"/>
      <c r="E73" s="8"/>
      <c r="F73" s="8"/>
      <c r="G73" s="9"/>
    </row>
    <row r="74">
      <c r="A74" s="18" t="s">
        <v>8</v>
      </c>
      <c r="B74" s="19"/>
      <c r="C74" s="19"/>
      <c r="D74" s="19"/>
      <c r="E74" s="19"/>
      <c r="F74" s="19"/>
      <c r="G74" s="20"/>
    </row>
    <row r="75">
      <c r="A75" s="21"/>
      <c r="G75" s="22"/>
    </row>
    <row r="76">
      <c r="A76" s="21"/>
      <c r="G76" s="22"/>
    </row>
    <row r="77">
      <c r="A77" s="21"/>
      <c r="G77" s="22"/>
    </row>
    <row r="78">
      <c r="A78" s="21"/>
      <c r="G78" s="22"/>
    </row>
    <row r="79">
      <c r="A79" s="23"/>
      <c r="B79" s="24"/>
      <c r="C79" s="24"/>
      <c r="D79" s="24"/>
      <c r="E79" s="24"/>
      <c r="F79" s="24"/>
      <c r="G79" s="25"/>
    </row>
  </sheetData>
  <mergeCells count="8">
    <mergeCell ref="D4:G4"/>
    <mergeCell ref="D5:G5"/>
    <mergeCell ref="D6:G6"/>
    <mergeCell ref="D7:G7"/>
    <mergeCell ref="D8:G8"/>
    <mergeCell ref="D9:G9"/>
    <mergeCell ref="A73:G73"/>
    <mergeCell ref="A74:G7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A34A"/>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1.38"/>
    <col customWidth="1" min="2" max="2" width="19.5"/>
    <col customWidth="1" min="3" max="3" width="77.63"/>
    <col customWidth="1" min="4" max="6" width="7.0"/>
  </cols>
  <sheetData>
    <row r="1">
      <c r="A1" s="26" t="s">
        <v>144</v>
      </c>
      <c r="B1" s="26" t="s">
        <v>145</v>
      </c>
      <c r="C1" s="26" t="s">
        <v>146</v>
      </c>
      <c r="D1" s="26" t="s">
        <v>147</v>
      </c>
      <c r="E1" s="26" t="s">
        <v>148</v>
      </c>
      <c r="F1" s="26" t="s">
        <v>149</v>
      </c>
    </row>
    <row r="2">
      <c r="A2" s="27" t="s">
        <v>29</v>
      </c>
      <c r="B2" s="27" t="s">
        <v>55</v>
      </c>
      <c r="C2" s="27" t="s">
        <v>150</v>
      </c>
      <c r="D2" s="28">
        <v>1.0</v>
      </c>
      <c r="E2" s="29" t="b">
        <v>1</v>
      </c>
      <c r="F2" s="28">
        <f t="shared" ref="F2:F128" si="1">IF(E2,D2,0)</f>
        <v>1</v>
      </c>
    </row>
    <row r="3">
      <c r="A3" s="27" t="s">
        <v>29</v>
      </c>
      <c r="B3" s="27" t="s">
        <v>55</v>
      </c>
      <c r="C3" s="27" t="s">
        <v>151</v>
      </c>
      <c r="D3" s="28">
        <v>1.0</v>
      </c>
      <c r="E3" s="29" t="b">
        <v>1</v>
      </c>
      <c r="F3" s="28">
        <f t="shared" si="1"/>
        <v>1</v>
      </c>
    </row>
    <row r="4">
      <c r="A4" s="27" t="s">
        <v>29</v>
      </c>
      <c r="B4" s="27" t="s">
        <v>55</v>
      </c>
      <c r="C4" s="27" t="s">
        <v>152</v>
      </c>
      <c r="D4" s="28">
        <v>1.0</v>
      </c>
      <c r="E4" s="29" t="b">
        <v>0</v>
      </c>
      <c r="F4" s="28">
        <f t="shared" si="1"/>
        <v>0</v>
      </c>
    </row>
    <row r="5">
      <c r="A5" s="27" t="s">
        <v>29</v>
      </c>
      <c r="B5" s="27" t="s">
        <v>55</v>
      </c>
      <c r="C5" s="27" t="s">
        <v>153</v>
      </c>
      <c r="D5" s="28">
        <v>2.0</v>
      </c>
      <c r="E5" s="29" t="b">
        <v>1</v>
      </c>
      <c r="F5" s="28">
        <f t="shared" si="1"/>
        <v>2</v>
      </c>
    </row>
    <row r="6">
      <c r="A6" s="27" t="s">
        <v>29</v>
      </c>
      <c r="B6" s="27" t="s">
        <v>55</v>
      </c>
      <c r="C6" s="27" t="s">
        <v>154</v>
      </c>
      <c r="D6" s="28">
        <v>1.0</v>
      </c>
      <c r="E6" s="29" t="b">
        <v>1</v>
      </c>
      <c r="F6" s="28">
        <f t="shared" si="1"/>
        <v>1</v>
      </c>
    </row>
    <row r="7">
      <c r="A7" s="27" t="s">
        <v>29</v>
      </c>
      <c r="B7" s="27" t="s">
        <v>55</v>
      </c>
      <c r="C7" s="27" t="s">
        <v>155</v>
      </c>
      <c r="D7" s="28">
        <v>2.0</v>
      </c>
      <c r="E7" s="29" t="b">
        <v>0</v>
      </c>
      <c r="F7" s="28">
        <f t="shared" si="1"/>
        <v>0</v>
      </c>
    </row>
    <row r="8">
      <c r="A8" s="27" t="s">
        <v>29</v>
      </c>
      <c r="B8" s="27" t="s">
        <v>55</v>
      </c>
      <c r="C8" s="27" t="s">
        <v>156</v>
      </c>
      <c r="D8" s="28">
        <v>1.0</v>
      </c>
      <c r="E8" s="29" t="b">
        <v>1</v>
      </c>
      <c r="F8" s="28">
        <f t="shared" si="1"/>
        <v>1</v>
      </c>
    </row>
    <row r="9">
      <c r="A9" s="27" t="s">
        <v>29</v>
      </c>
      <c r="B9" s="27" t="s">
        <v>55</v>
      </c>
      <c r="C9" s="27" t="s">
        <v>157</v>
      </c>
      <c r="D9" s="28">
        <v>1.0</v>
      </c>
      <c r="E9" s="29" t="b">
        <v>0</v>
      </c>
      <c r="F9" s="28">
        <f t="shared" si="1"/>
        <v>0</v>
      </c>
    </row>
    <row r="10">
      <c r="A10" s="27" t="s">
        <v>29</v>
      </c>
      <c r="B10" s="27" t="s">
        <v>55</v>
      </c>
      <c r="C10" s="27" t="s">
        <v>158</v>
      </c>
      <c r="D10" s="28">
        <v>2.0</v>
      </c>
      <c r="E10" s="29" t="b">
        <v>0</v>
      </c>
      <c r="F10" s="28">
        <f t="shared" si="1"/>
        <v>0</v>
      </c>
    </row>
    <row r="11">
      <c r="A11" s="27" t="s">
        <v>29</v>
      </c>
      <c r="B11" s="27" t="s">
        <v>55</v>
      </c>
      <c r="C11" s="27" t="s">
        <v>159</v>
      </c>
      <c r="D11" s="28">
        <v>1.0</v>
      </c>
      <c r="E11" s="29" t="b">
        <v>0</v>
      </c>
      <c r="F11" s="28">
        <f t="shared" si="1"/>
        <v>0</v>
      </c>
    </row>
    <row r="12">
      <c r="A12" s="27" t="s">
        <v>29</v>
      </c>
      <c r="B12" s="27" t="s">
        <v>55</v>
      </c>
      <c r="C12" s="27" t="s">
        <v>160</v>
      </c>
      <c r="D12" s="28">
        <v>1.0</v>
      </c>
      <c r="E12" s="29" t="b">
        <v>1</v>
      </c>
      <c r="F12" s="28">
        <f t="shared" si="1"/>
        <v>1</v>
      </c>
    </row>
    <row r="13">
      <c r="A13" s="27" t="s">
        <v>29</v>
      </c>
      <c r="B13" s="27" t="s">
        <v>57</v>
      </c>
      <c r="C13" s="27" t="s">
        <v>161</v>
      </c>
      <c r="D13" s="28">
        <v>1.0</v>
      </c>
      <c r="E13" s="29" t="b">
        <v>0</v>
      </c>
      <c r="F13" s="28">
        <f t="shared" si="1"/>
        <v>0</v>
      </c>
    </row>
    <row r="14">
      <c r="A14" s="27" t="s">
        <v>29</v>
      </c>
      <c r="B14" s="27" t="s">
        <v>57</v>
      </c>
      <c r="C14" s="27" t="s">
        <v>162</v>
      </c>
      <c r="D14" s="28">
        <v>1.0</v>
      </c>
      <c r="E14" s="29" t="b">
        <v>0</v>
      </c>
      <c r="F14" s="28">
        <f t="shared" si="1"/>
        <v>0</v>
      </c>
    </row>
    <row r="15">
      <c r="A15" s="27" t="s">
        <v>29</v>
      </c>
      <c r="B15" s="27" t="s">
        <v>57</v>
      </c>
      <c r="C15" s="27" t="s">
        <v>163</v>
      </c>
      <c r="D15" s="28">
        <v>1.0</v>
      </c>
      <c r="E15" s="29" t="b">
        <v>1</v>
      </c>
      <c r="F15" s="28">
        <f t="shared" si="1"/>
        <v>1</v>
      </c>
    </row>
    <row r="16">
      <c r="A16" s="27" t="s">
        <v>29</v>
      </c>
      <c r="B16" s="27" t="s">
        <v>57</v>
      </c>
      <c r="C16" s="27" t="s">
        <v>164</v>
      </c>
      <c r="D16" s="28">
        <v>1.0</v>
      </c>
      <c r="E16" s="29" t="b">
        <v>1</v>
      </c>
      <c r="F16" s="28">
        <f t="shared" si="1"/>
        <v>1</v>
      </c>
    </row>
    <row r="17">
      <c r="A17" s="27" t="s">
        <v>29</v>
      </c>
      <c r="B17" s="27" t="s">
        <v>57</v>
      </c>
      <c r="C17" s="27" t="s">
        <v>165</v>
      </c>
      <c r="D17" s="28">
        <v>1.0</v>
      </c>
      <c r="E17" s="29" t="b">
        <v>0</v>
      </c>
      <c r="F17" s="28">
        <f t="shared" si="1"/>
        <v>0</v>
      </c>
    </row>
    <row r="18">
      <c r="A18" s="27" t="s">
        <v>29</v>
      </c>
      <c r="B18" s="27" t="s">
        <v>57</v>
      </c>
      <c r="C18" s="27" t="s">
        <v>166</v>
      </c>
      <c r="D18" s="28">
        <v>1.0</v>
      </c>
      <c r="E18" s="29" t="b">
        <v>0</v>
      </c>
      <c r="F18" s="28">
        <f t="shared" si="1"/>
        <v>0</v>
      </c>
    </row>
    <row r="19">
      <c r="A19" s="27" t="s">
        <v>29</v>
      </c>
      <c r="B19" s="27" t="s">
        <v>57</v>
      </c>
      <c r="C19" s="27" t="s">
        <v>167</v>
      </c>
      <c r="D19" s="28">
        <v>1.0</v>
      </c>
      <c r="E19" s="29" t="b">
        <v>1</v>
      </c>
      <c r="F19" s="28">
        <f t="shared" si="1"/>
        <v>1</v>
      </c>
    </row>
    <row r="20">
      <c r="A20" s="27" t="s">
        <v>29</v>
      </c>
      <c r="B20" s="27" t="s">
        <v>57</v>
      </c>
      <c r="C20" s="27" t="s">
        <v>160</v>
      </c>
      <c r="D20" s="28">
        <v>1.0</v>
      </c>
      <c r="E20" s="29" t="b">
        <v>1</v>
      </c>
      <c r="F20" s="28">
        <f t="shared" si="1"/>
        <v>1</v>
      </c>
    </row>
    <row r="21">
      <c r="A21" s="27" t="s">
        <v>29</v>
      </c>
      <c r="B21" s="27" t="s">
        <v>59</v>
      </c>
      <c r="C21" s="27" t="s">
        <v>168</v>
      </c>
      <c r="D21" s="28">
        <v>1.0</v>
      </c>
      <c r="E21" s="29" t="b">
        <v>0</v>
      </c>
      <c r="F21" s="28">
        <f t="shared" si="1"/>
        <v>0</v>
      </c>
    </row>
    <row r="22">
      <c r="A22" s="27" t="s">
        <v>29</v>
      </c>
      <c r="B22" s="27" t="s">
        <v>59</v>
      </c>
      <c r="C22" s="27" t="s">
        <v>169</v>
      </c>
      <c r="D22" s="28">
        <v>1.0</v>
      </c>
      <c r="E22" s="29" t="b">
        <v>0</v>
      </c>
      <c r="F22" s="28">
        <f t="shared" si="1"/>
        <v>0</v>
      </c>
    </row>
    <row r="23">
      <c r="A23" s="27" t="s">
        <v>29</v>
      </c>
      <c r="B23" s="27" t="s">
        <v>59</v>
      </c>
      <c r="C23" s="27" t="s">
        <v>170</v>
      </c>
      <c r="D23" s="28">
        <v>1.0</v>
      </c>
      <c r="E23" s="29" t="b">
        <v>1</v>
      </c>
      <c r="F23" s="28">
        <f t="shared" si="1"/>
        <v>1</v>
      </c>
    </row>
    <row r="24">
      <c r="A24" s="27" t="s">
        <v>29</v>
      </c>
      <c r="B24" s="27" t="s">
        <v>59</v>
      </c>
      <c r="C24" s="27" t="s">
        <v>171</v>
      </c>
      <c r="D24" s="28">
        <v>1.0</v>
      </c>
      <c r="E24" s="29" t="b">
        <v>1</v>
      </c>
      <c r="F24" s="28">
        <f t="shared" si="1"/>
        <v>1</v>
      </c>
    </row>
    <row r="25">
      <c r="A25" s="27" t="s">
        <v>29</v>
      </c>
      <c r="B25" s="27" t="s">
        <v>59</v>
      </c>
      <c r="C25" s="27" t="s">
        <v>172</v>
      </c>
      <c r="D25" s="28">
        <v>1.0</v>
      </c>
      <c r="E25" s="29" t="b">
        <v>0</v>
      </c>
      <c r="F25" s="28">
        <f t="shared" si="1"/>
        <v>0</v>
      </c>
    </row>
    <row r="26">
      <c r="A26" s="27" t="s">
        <v>29</v>
      </c>
      <c r="B26" s="27" t="s">
        <v>59</v>
      </c>
      <c r="C26" s="27" t="s">
        <v>173</v>
      </c>
      <c r="D26" s="28">
        <v>1.0</v>
      </c>
      <c r="E26" s="29" t="b">
        <v>0</v>
      </c>
      <c r="F26" s="28">
        <f t="shared" si="1"/>
        <v>0</v>
      </c>
    </row>
    <row r="27">
      <c r="A27" s="27" t="s">
        <v>29</v>
      </c>
      <c r="B27" s="27" t="s">
        <v>59</v>
      </c>
      <c r="C27" s="27" t="s">
        <v>174</v>
      </c>
      <c r="D27" s="28">
        <v>1.0</v>
      </c>
      <c r="E27" s="29" t="b">
        <v>1</v>
      </c>
      <c r="F27" s="28">
        <f t="shared" si="1"/>
        <v>1</v>
      </c>
    </row>
    <row r="28">
      <c r="A28" s="27" t="s">
        <v>29</v>
      </c>
      <c r="B28" s="27" t="s">
        <v>59</v>
      </c>
      <c r="C28" s="27" t="s">
        <v>175</v>
      </c>
      <c r="D28" s="28">
        <v>1.0</v>
      </c>
      <c r="E28" s="29" t="b">
        <v>0</v>
      </c>
      <c r="F28" s="28">
        <f t="shared" si="1"/>
        <v>0</v>
      </c>
    </row>
    <row r="29">
      <c r="A29" s="27" t="s">
        <v>29</v>
      </c>
      <c r="B29" s="27" t="s">
        <v>59</v>
      </c>
      <c r="C29" s="27" t="s">
        <v>160</v>
      </c>
      <c r="D29" s="28">
        <v>1.0</v>
      </c>
      <c r="E29" s="29" t="b">
        <v>1</v>
      </c>
      <c r="F29" s="28">
        <f t="shared" si="1"/>
        <v>1</v>
      </c>
    </row>
    <row r="30">
      <c r="A30" s="27" t="s">
        <v>29</v>
      </c>
      <c r="B30" s="27" t="s">
        <v>61</v>
      </c>
      <c r="C30" s="27" t="s">
        <v>176</v>
      </c>
      <c r="D30" s="28">
        <v>1.0</v>
      </c>
      <c r="E30" s="29" t="b">
        <v>1</v>
      </c>
      <c r="F30" s="28">
        <f t="shared" si="1"/>
        <v>1</v>
      </c>
    </row>
    <row r="31">
      <c r="A31" s="27" t="s">
        <v>29</v>
      </c>
      <c r="B31" s="27" t="s">
        <v>61</v>
      </c>
      <c r="C31" s="27" t="s">
        <v>177</v>
      </c>
      <c r="D31" s="28">
        <v>1.0</v>
      </c>
      <c r="E31" s="29" t="b">
        <v>0</v>
      </c>
      <c r="F31" s="28">
        <f t="shared" si="1"/>
        <v>0</v>
      </c>
    </row>
    <row r="32">
      <c r="A32" s="27" t="s">
        <v>29</v>
      </c>
      <c r="B32" s="27" t="s">
        <v>61</v>
      </c>
      <c r="C32" s="27" t="s">
        <v>178</v>
      </c>
      <c r="D32" s="28">
        <v>1.0</v>
      </c>
      <c r="E32" s="29" t="b">
        <v>1</v>
      </c>
      <c r="F32" s="28">
        <f t="shared" si="1"/>
        <v>1</v>
      </c>
    </row>
    <row r="33">
      <c r="A33" s="27" t="s">
        <v>29</v>
      </c>
      <c r="B33" s="27" t="s">
        <v>61</v>
      </c>
      <c r="C33" s="27" t="s">
        <v>179</v>
      </c>
      <c r="D33" s="28">
        <v>1.0</v>
      </c>
      <c r="E33" s="29" t="b">
        <v>0</v>
      </c>
      <c r="F33" s="28">
        <f t="shared" si="1"/>
        <v>0</v>
      </c>
    </row>
    <row r="34">
      <c r="A34" s="27" t="s">
        <v>29</v>
      </c>
      <c r="B34" s="27" t="s">
        <v>61</v>
      </c>
      <c r="C34" s="27" t="s">
        <v>180</v>
      </c>
      <c r="D34" s="28">
        <v>1.0</v>
      </c>
      <c r="E34" s="29" t="b">
        <v>0</v>
      </c>
      <c r="F34" s="28">
        <f t="shared" si="1"/>
        <v>0</v>
      </c>
    </row>
    <row r="35">
      <c r="A35" s="27" t="s">
        <v>29</v>
      </c>
      <c r="B35" s="27" t="s">
        <v>61</v>
      </c>
      <c r="C35" s="27" t="s">
        <v>181</v>
      </c>
      <c r="D35" s="28">
        <v>1.0</v>
      </c>
      <c r="E35" s="29" t="b">
        <v>0</v>
      </c>
      <c r="F35" s="28">
        <f t="shared" si="1"/>
        <v>0</v>
      </c>
    </row>
    <row r="36">
      <c r="A36" s="27" t="s">
        <v>29</v>
      </c>
      <c r="B36" s="27" t="s">
        <v>61</v>
      </c>
      <c r="C36" s="27" t="s">
        <v>182</v>
      </c>
      <c r="D36" s="28">
        <v>1.0</v>
      </c>
      <c r="E36" s="29" t="b">
        <v>0</v>
      </c>
      <c r="F36" s="28">
        <f t="shared" si="1"/>
        <v>0</v>
      </c>
    </row>
    <row r="37">
      <c r="A37" s="27" t="s">
        <v>29</v>
      </c>
      <c r="B37" s="27" t="s">
        <v>61</v>
      </c>
      <c r="C37" s="27" t="s">
        <v>183</v>
      </c>
      <c r="D37" s="28">
        <v>1.0</v>
      </c>
      <c r="E37" s="29" t="b">
        <v>0</v>
      </c>
      <c r="F37" s="28">
        <f t="shared" si="1"/>
        <v>0</v>
      </c>
    </row>
    <row r="38">
      <c r="A38" s="27" t="s">
        <v>29</v>
      </c>
      <c r="B38" s="27" t="s">
        <v>61</v>
      </c>
      <c r="C38" s="27" t="s">
        <v>184</v>
      </c>
      <c r="D38" s="28">
        <v>1.0</v>
      </c>
      <c r="E38" s="29" t="b">
        <v>1</v>
      </c>
      <c r="F38" s="28">
        <f t="shared" si="1"/>
        <v>1</v>
      </c>
    </row>
    <row r="39">
      <c r="A39" s="27" t="s">
        <v>29</v>
      </c>
      <c r="B39" s="27" t="s">
        <v>61</v>
      </c>
      <c r="C39" s="27" t="s">
        <v>160</v>
      </c>
      <c r="D39" s="28">
        <v>1.0</v>
      </c>
      <c r="E39" s="29" t="b">
        <v>1</v>
      </c>
      <c r="F39" s="28">
        <f t="shared" si="1"/>
        <v>1</v>
      </c>
    </row>
    <row r="40">
      <c r="A40" s="27" t="s">
        <v>29</v>
      </c>
      <c r="B40" s="27" t="s">
        <v>63</v>
      </c>
      <c r="C40" s="27" t="s">
        <v>185</v>
      </c>
      <c r="D40" s="28">
        <v>1.0</v>
      </c>
      <c r="E40" s="29" t="b">
        <v>0</v>
      </c>
      <c r="F40" s="28">
        <f t="shared" si="1"/>
        <v>0</v>
      </c>
    </row>
    <row r="41">
      <c r="A41" s="27" t="s">
        <v>29</v>
      </c>
      <c r="B41" s="27" t="s">
        <v>63</v>
      </c>
      <c r="C41" s="27" t="s">
        <v>186</v>
      </c>
      <c r="D41" s="28">
        <v>1.0</v>
      </c>
      <c r="E41" s="29" t="b">
        <v>0</v>
      </c>
      <c r="F41" s="28">
        <f t="shared" si="1"/>
        <v>0</v>
      </c>
    </row>
    <row r="42">
      <c r="A42" s="27" t="s">
        <v>29</v>
      </c>
      <c r="B42" s="27" t="s">
        <v>63</v>
      </c>
      <c r="C42" s="27" t="s">
        <v>187</v>
      </c>
      <c r="D42" s="28">
        <v>1.0</v>
      </c>
      <c r="E42" s="29" t="b">
        <v>0</v>
      </c>
      <c r="F42" s="28">
        <f t="shared" si="1"/>
        <v>0</v>
      </c>
    </row>
    <row r="43">
      <c r="A43" s="27" t="s">
        <v>29</v>
      </c>
      <c r="B43" s="27" t="s">
        <v>63</v>
      </c>
      <c r="C43" s="27" t="s">
        <v>188</v>
      </c>
      <c r="D43" s="28">
        <v>1.0</v>
      </c>
      <c r="E43" s="29" t="b">
        <v>0</v>
      </c>
      <c r="F43" s="28">
        <f t="shared" si="1"/>
        <v>0</v>
      </c>
    </row>
    <row r="44">
      <c r="A44" s="27" t="s">
        <v>29</v>
      </c>
      <c r="B44" s="27" t="s">
        <v>63</v>
      </c>
      <c r="C44" s="27" t="s">
        <v>189</v>
      </c>
      <c r="D44" s="28">
        <v>1.0</v>
      </c>
      <c r="E44" s="29" t="b">
        <v>0</v>
      </c>
      <c r="F44" s="28">
        <f t="shared" si="1"/>
        <v>0</v>
      </c>
    </row>
    <row r="45">
      <c r="A45" s="27" t="s">
        <v>29</v>
      </c>
      <c r="B45" s="27" t="s">
        <v>63</v>
      </c>
      <c r="C45" s="27" t="s">
        <v>190</v>
      </c>
      <c r="D45" s="28">
        <v>1.0</v>
      </c>
      <c r="E45" s="29" t="b">
        <v>0</v>
      </c>
      <c r="F45" s="28">
        <f t="shared" si="1"/>
        <v>0</v>
      </c>
    </row>
    <row r="46">
      <c r="A46" s="27" t="s">
        <v>29</v>
      </c>
      <c r="B46" s="27" t="s">
        <v>63</v>
      </c>
      <c r="C46" s="27" t="s">
        <v>191</v>
      </c>
      <c r="D46" s="28">
        <v>1.0</v>
      </c>
      <c r="E46" s="29" t="b">
        <v>0</v>
      </c>
      <c r="F46" s="28">
        <f t="shared" si="1"/>
        <v>0</v>
      </c>
    </row>
    <row r="47">
      <c r="A47" s="27" t="s">
        <v>29</v>
      </c>
      <c r="B47" s="27" t="s">
        <v>63</v>
      </c>
      <c r="C47" s="27" t="s">
        <v>160</v>
      </c>
      <c r="D47" s="28">
        <v>1.0</v>
      </c>
      <c r="E47" s="29" t="b">
        <v>1</v>
      </c>
      <c r="F47" s="28">
        <f t="shared" si="1"/>
        <v>1</v>
      </c>
    </row>
    <row r="48">
      <c r="A48" s="27" t="s">
        <v>29</v>
      </c>
      <c r="B48" s="27" t="s">
        <v>65</v>
      </c>
      <c r="C48" s="27" t="s">
        <v>192</v>
      </c>
      <c r="D48" s="28">
        <v>1.0</v>
      </c>
      <c r="E48" s="29" t="b">
        <v>1</v>
      </c>
      <c r="F48" s="28">
        <f t="shared" si="1"/>
        <v>1</v>
      </c>
    </row>
    <row r="49">
      <c r="A49" s="27" t="s">
        <v>29</v>
      </c>
      <c r="B49" s="27" t="s">
        <v>65</v>
      </c>
      <c r="C49" s="27" t="s">
        <v>193</v>
      </c>
      <c r="D49" s="28">
        <v>1.0</v>
      </c>
      <c r="E49" s="29" t="b">
        <v>0</v>
      </c>
      <c r="F49" s="28">
        <f t="shared" si="1"/>
        <v>0</v>
      </c>
    </row>
    <row r="50">
      <c r="A50" s="27" t="s">
        <v>29</v>
      </c>
      <c r="B50" s="27" t="s">
        <v>65</v>
      </c>
      <c r="C50" s="27" t="s">
        <v>194</v>
      </c>
      <c r="D50" s="28">
        <v>1.0</v>
      </c>
      <c r="E50" s="29" t="b">
        <v>0</v>
      </c>
      <c r="F50" s="28">
        <f t="shared" si="1"/>
        <v>0</v>
      </c>
    </row>
    <row r="51">
      <c r="A51" s="27" t="s">
        <v>29</v>
      </c>
      <c r="B51" s="27" t="s">
        <v>65</v>
      </c>
      <c r="C51" s="27" t="s">
        <v>195</v>
      </c>
      <c r="D51" s="28">
        <v>1.0</v>
      </c>
      <c r="E51" s="29" t="b">
        <v>0</v>
      </c>
      <c r="F51" s="28">
        <f t="shared" si="1"/>
        <v>0</v>
      </c>
    </row>
    <row r="52">
      <c r="A52" s="27" t="s">
        <v>29</v>
      </c>
      <c r="B52" s="27" t="s">
        <v>65</v>
      </c>
      <c r="C52" s="27" t="s">
        <v>196</v>
      </c>
      <c r="D52" s="28">
        <v>1.0</v>
      </c>
      <c r="E52" s="29" t="b">
        <v>1</v>
      </c>
      <c r="F52" s="28">
        <f t="shared" si="1"/>
        <v>1</v>
      </c>
    </row>
    <row r="53">
      <c r="A53" s="27" t="s">
        <v>29</v>
      </c>
      <c r="B53" s="27" t="s">
        <v>65</v>
      </c>
      <c r="C53" s="27" t="s">
        <v>197</v>
      </c>
      <c r="D53" s="28">
        <v>1.0</v>
      </c>
      <c r="E53" s="29" t="b">
        <v>1</v>
      </c>
      <c r="F53" s="28">
        <f t="shared" si="1"/>
        <v>1</v>
      </c>
    </row>
    <row r="54">
      <c r="A54" s="27" t="s">
        <v>29</v>
      </c>
      <c r="B54" s="27" t="s">
        <v>65</v>
      </c>
      <c r="C54" s="27" t="s">
        <v>198</v>
      </c>
      <c r="D54" s="28">
        <v>1.0</v>
      </c>
      <c r="E54" s="29" t="b">
        <v>1</v>
      </c>
      <c r="F54" s="28">
        <f t="shared" si="1"/>
        <v>1</v>
      </c>
    </row>
    <row r="55">
      <c r="A55" s="27" t="s">
        <v>29</v>
      </c>
      <c r="B55" s="27" t="s">
        <v>65</v>
      </c>
      <c r="C55" s="27" t="s">
        <v>160</v>
      </c>
      <c r="D55" s="28">
        <v>1.0</v>
      </c>
      <c r="E55" s="29" t="b">
        <v>1</v>
      </c>
      <c r="F55" s="28">
        <f t="shared" si="1"/>
        <v>1</v>
      </c>
    </row>
    <row r="56">
      <c r="A56" s="27" t="s">
        <v>29</v>
      </c>
      <c r="B56" s="27" t="s">
        <v>67</v>
      </c>
      <c r="C56" s="27" t="s">
        <v>199</v>
      </c>
      <c r="D56" s="28">
        <v>1.0</v>
      </c>
      <c r="E56" s="29" t="b">
        <v>0</v>
      </c>
      <c r="F56" s="28">
        <f t="shared" si="1"/>
        <v>0</v>
      </c>
    </row>
    <row r="57">
      <c r="A57" s="27" t="s">
        <v>29</v>
      </c>
      <c r="B57" s="27" t="s">
        <v>67</v>
      </c>
      <c r="C57" s="27" t="s">
        <v>200</v>
      </c>
      <c r="D57" s="28">
        <v>1.0</v>
      </c>
      <c r="E57" s="29" t="b">
        <v>0</v>
      </c>
      <c r="F57" s="28">
        <f t="shared" si="1"/>
        <v>0</v>
      </c>
    </row>
    <row r="58">
      <c r="A58" s="27" t="s">
        <v>29</v>
      </c>
      <c r="B58" s="27" t="s">
        <v>67</v>
      </c>
      <c r="C58" s="27" t="s">
        <v>201</v>
      </c>
      <c r="D58" s="28">
        <v>1.0</v>
      </c>
      <c r="E58" s="29" t="b">
        <v>0</v>
      </c>
      <c r="F58" s="28">
        <f t="shared" si="1"/>
        <v>0</v>
      </c>
    </row>
    <row r="59">
      <c r="A59" s="27" t="s">
        <v>29</v>
      </c>
      <c r="B59" s="27" t="s">
        <v>67</v>
      </c>
      <c r="C59" s="27" t="s">
        <v>202</v>
      </c>
      <c r="D59" s="28">
        <v>1.0</v>
      </c>
      <c r="E59" s="29" t="b">
        <v>0</v>
      </c>
      <c r="F59" s="28">
        <f t="shared" si="1"/>
        <v>0</v>
      </c>
    </row>
    <row r="60">
      <c r="A60" s="27" t="s">
        <v>29</v>
      </c>
      <c r="B60" s="27" t="s">
        <v>67</v>
      </c>
      <c r="C60" s="27" t="s">
        <v>203</v>
      </c>
      <c r="D60" s="28">
        <v>1.0</v>
      </c>
      <c r="E60" s="29" t="b">
        <v>0</v>
      </c>
      <c r="F60" s="28">
        <f t="shared" si="1"/>
        <v>0</v>
      </c>
    </row>
    <row r="61">
      <c r="A61" s="27" t="s">
        <v>29</v>
      </c>
      <c r="B61" s="27" t="s">
        <v>67</v>
      </c>
      <c r="C61" s="27" t="s">
        <v>204</v>
      </c>
      <c r="D61" s="28">
        <v>1.0</v>
      </c>
      <c r="E61" s="29" t="b">
        <v>0</v>
      </c>
      <c r="F61" s="28">
        <f t="shared" si="1"/>
        <v>0</v>
      </c>
    </row>
    <row r="62">
      <c r="A62" s="27" t="s">
        <v>29</v>
      </c>
      <c r="B62" s="27" t="s">
        <v>67</v>
      </c>
      <c r="C62" s="27" t="s">
        <v>205</v>
      </c>
      <c r="D62" s="28">
        <v>1.0</v>
      </c>
      <c r="E62" s="29" t="b">
        <v>0</v>
      </c>
      <c r="F62" s="28">
        <f t="shared" si="1"/>
        <v>0</v>
      </c>
    </row>
    <row r="63">
      <c r="A63" s="27" t="s">
        <v>29</v>
      </c>
      <c r="B63" s="27" t="s">
        <v>67</v>
      </c>
      <c r="C63" s="27" t="s">
        <v>160</v>
      </c>
      <c r="D63" s="28">
        <v>1.0</v>
      </c>
      <c r="E63" s="29" t="b">
        <v>1</v>
      </c>
      <c r="F63" s="28">
        <f t="shared" si="1"/>
        <v>1</v>
      </c>
    </row>
    <row r="64">
      <c r="A64" s="27" t="s">
        <v>29</v>
      </c>
      <c r="B64" s="27" t="s">
        <v>69</v>
      </c>
      <c r="C64" s="27" t="s">
        <v>206</v>
      </c>
      <c r="D64" s="28">
        <v>1.0</v>
      </c>
      <c r="E64" s="29" t="b">
        <v>1</v>
      </c>
      <c r="F64" s="28">
        <f t="shared" si="1"/>
        <v>1</v>
      </c>
    </row>
    <row r="65">
      <c r="A65" s="27" t="s">
        <v>29</v>
      </c>
      <c r="B65" s="27" t="s">
        <v>69</v>
      </c>
      <c r="C65" s="27" t="s">
        <v>207</v>
      </c>
      <c r="D65" s="28">
        <v>1.0</v>
      </c>
      <c r="E65" s="29" t="b">
        <v>1</v>
      </c>
      <c r="F65" s="28">
        <f t="shared" si="1"/>
        <v>1</v>
      </c>
    </row>
    <row r="66">
      <c r="A66" s="27" t="s">
        <v>29</v>
      </c>
      <c r="B66" s="27" t="s">
        <v>69</v>
      </c>
      <c r="C66" s="27" t="s">
        <v>208</v>
      </c>
      <c r="D66" s="28">
        <v>1.0</v>
      </c>
      <c r="E66" s="29" t="b">
        <v>1</v>
      </c>
      <c r="F66" s="28">
        <f t="shared" si="1"/>
        <v>1</v>
      </c>
    </row>
    <row r="67">
      <c r="A67" s="27" t="s">
        <v>29</v>
      </c>
      <c r="B67" s="27" t="s">
        <v>69</v>
      </c>
      <c r="C67" s="27" t="s">
        <v>209</v>
      </c>
      <c r="D67" s="28">
        <v>1.0</v>
      </c>
      <c r="E67" s="29" t="b">
        <v>1</v>
      </c>
      <c r="F67" s="28">
        <f t="shared" si="1"/>
        <v>1</v>
      </c>
    </row>
    <row r="68">
      <c r="A68" s="27" t="s">
        <v>29</v>
      </c>
      <c r="B68" s="27" t="s">
        <v>69</v>
      </c>
      <c r="C68" s="27" t="s">
        <v>210</v>
      </c>
      <c r="D68" s="28">
        <v>1.0</v>
      </c>
      <c r="E68" s="29" t="b">
        <v>1</v>
      </c>
      <c r="F68" s="28">
        <f t="shared" si="1"/>
        <v>1</v>
      </c>
    </row>
    <row r="69">
      <c r="A69" s="27" t="s">
        <v>29</v>
      </c>
      <c r="B69" s="27" t="s">
        <v>69</v>
      </c>
      <c r="C69" s="27" t="s">
        <v>211</v>
      </c>
      <c r="D69" s="28">
        <v>1.0</v>
      </c>
      <c r="E69" s="29" t="b">
        <v>0</v>
      </c>
      <c r="F69" s="28">
        <f t="shared" si="1"/>
        <v>0</v>
      </c>
    </row>
    <row r="70">
      <c r="A70" s="27" t="s">
        <v>29</v>
      </c>
      <c r="B70" s="27" t="s">
        <v>69</v>
      </c>
      <c r="C70" s="27" t="s">
        <v>212</v>
      </c>
      <c r="D70" s="28">
        <v>1.0</v>
      </c>
      <c r="E70" s="29" t="b">
        <v>1</v>
      </c>
      <c r="F70" s="28">
        <f t="shared" si="1"/>
        <v>1</v>
      </c>
    </row>
    <row r="71">
      <c r="A71" s="27" t="s">
        <v>29</v>
      </c>
      <c r="B71" s="27" t="s">
        <v>69</v>
      </c>
      <c r="C71" s="27" t="s">
        <v>213</v>
      </c>
      <c r="D71" s="28">
        <v>1.0</v>
      </c>
      <c r="E71" s="29" t="b">
        <v>1</v>
      </c>
      <c r="F71" s="28">
        <f t="shared" si="1"/>
        <v>1</v>
      </c>
    </row>
    <row r="72">
      <c r="A72" s="27" t="s">
        <v>29</v>
      </c>
      <c r="B72" s="27" t="s">
        <v>69</v>
      </c>
      <c r="C72" s="27" t="s">
        <v>214</v>
      </c>
      <c r="D72" s="28">
        <v>1.0</v>
      </c>
      <c r="E72" s="29" t="b">
        <v>1</v>
      </c>
      <c r="F72" s="28">
        <f t="shared" si="1"/>
        <v>1</v>
      </c>
    </row>
    <row r="73">
      <c r="A73" s="27" t="s">
        <v>29</v>
      </c>
      <c r="B73" s="27" t="s">
        <v>69</v>
      </c>
      <c r="C73" s="27" t="s">
        <v>215</v>
      </c>
      <c r="D73" s="28">
        <v>1.0</v>
      </c>
      <c r="E73" s="29" t="b">
        <v>0</v>
      </c>
      <c r="F73" s="28">
        <f t="shared" si="1"/>
        <v>0</v>
      </c>
    </row>
    <row r="74">
      <c r="A74" s="27" t="s">
        <v>29</v>
      </c>
      <c r="B74" s="27" t="s">
        <v>69</v>
      </c>
      <c r="C74" s="27" t="s">
        <v>216</v>
      </c>
      <c r="D74" s="28">
        <v>1.0</v>
      </c>
      <c r="E74" s="29" t="b">
        <v>1</v>
      </c>
      <c r="F74" s="28">
        <f t="shared" si="1"/>
        <v>1</v>
      </c>
    </row>
    <row r="75">
      <c r="A75" s="27" t="s">
        <v>29</v>
      </c>
      <c r="B75" s="27" t="s">
        <v>69</v>
      </c>
      <c r="C75" s="27" t="s">
        <v>160</v>
      </c>
      <c r="D75" s="28">
        <v>1.0</v>
      </c>
      <c r="E75" s="29" t="b">
        <v>1</v>
      </c>
      <c r="F75" s="28">
        <f t="shared" si="1"/>
        <v>1</v>
      </c>
    </row>
    <row r="76">
      <c r="A76" s="27" t="s">
        <v>29</v>
      </c>
      <c r="B76" s="27" t="s">
        <v>71</v>
      </c>
      <c r="C76" s="27" t="s">
        <v>217</v>
      </c>
      <c r="D76" s="28">
        <v>1.0</v>
      </c>
      <c r="E76" s="29" t="b">
        <v>1</v>
      </c>
      <c r="F76" s="28">
        <f t="shared" si="1"/>
        <v>1</v>
      </c>
    </row>
    <row r="77">
      <c r="A77" s="27" t="s">
        <v>29</v>
      </c>
      <c r="B77" s="27" t="s">
        <v>71</v>
      </c>
      <c r="C77" s="27" t="s">
        <v>218</v>
      </c>
      <c r="D77" s="28">
        <v>1.0</v>
      </c>
      <c r="E77" s="29" t="b">
        <v>1</v>
      </c>
      <c r="F77" s="28">
        <f t="shared" si="1"/>
        <v>1</v>
      </c>
    </row>
    <row r="78">
      <c r="A78" s="27" t="s">
        <v>29</v>
      </c>
      <c r="B78" s="27" t="s">
        <v>71</v>
      </c>
      <c r="C78" s="27" t="s">
        <v>219</v>
      </c>
      <c r="D78" s="28">
        <v>1.0</v>
      </c>
      <c r="E78" s="29" t="b">
        <v>1</v>
      </c>
      <c r="F78" s="28">
        <f t="shared" si="1"/>
        <v>1</v>
      </c>
    </row>
    <row r="79">
      <c r="A79" s="27" t="s">
        <v>29</v>
      </c>
      <c r="B79" s="27" t="s">
        <v>71</v>
      </c>
      <c r="C79" s="27" t="s">
        <v>220</v>
      </c>
      <c r="D79" s="28">
        <v>1.0</v>
      </c>
      <c r="E79" s="29" t="b">
        <v>1</v>
      </c>
      <c r="F79" s="28">
        <f t="shared" si="1"/>
        <v>1</v>
      </c>
    </row>
    <row r="80">
      <c r="A80" s="27" t="s">
        <v>29</v>
      </c>
      <c r="B80" s="27" t="s">
        <v>71</v>
      </c>
      <c r="C80" s="27" t="s">
        <v>160</v>
      </c>
      <c r="D80" s="28">
        <v>1.0</v>
      </c>
      <c r="E80" s="29" t="b">
        <v>1</v>
      </c>
      <c r="F80" s="28">
        <f t="shared" si="1"/>
        <v>1</v>
      </c>
    </row>
    <row r="81">
      <c r="A81" s="27" t="s">
        <v>29</v>
      </c>
      <c r="B81" s="27" t="s">
        <v>73</v>
      </c>
      <c r="C81" s="27" t="s">
        <v>221</v>
      </c>
      <c r="D81" s="28">
        <v>1.0</v>
      </c>
      <c r="E81" s="29" t="b">
        <v>0</v>
      </c>
      <c r="F81" s="28">
        <f t="shared" si="1"/>
        <v>0</v>
      </c>
    </row>
    <row r="82">
      <c r="A82" s="27" t="s">
        <v>29</v>
      </c>
      <c r="B82" s="27" t="s">
        <v>73</v>
      </c>
      <c r="C82" s="27" t="s">
        <v>222</v>
      </c>
      <c r="D82" s="28">
        <v>1.0</v>
      </c>
      <c r="E82" s="29" t="b">
        <v>0</v>
      </c>
      <c r="F82" s="28">
        <f t="shared" si="1"/>
        <v>0</v>
      </c>
    </row>
    <row r="83">
      <c r="A83" s="27" t="s">
        <v>29</v>
      </c>
      <c r="B83" s="27" t="s">
        <v>73</v>
      </c>
      <c r="C83" s="27" t="s">
        <v>223</v>
      </c>
      <c r="D83" s="28">
        <v>2.0</v>
      </c>
      <c r="E83" s="29" t="b">
        <v>0</v>
      </c>
      <c r="F83" s="28">
        <f t="shared" si="1"/>
        <v>0</v>
      </c>
    </row>
    <row r="84">
      <c r="A84" s="27" t="s">
        <v>29</v>
      </c>
      <c r="B84" s="27" t="s">
        <v>73</v>
      </c>
      <c r="C84" s="27" t="s">
        <v>224</v>
      </c>
      <c r="D84" s="28">
        <v>2.0</v>
      </c>
      <c r="E84" s="29" t="b">
        <v>0</v>
      </c>
      <c r="F84" s="28">
        <f t="shared" si="1"/>
        <v>0</v>
      </c>
    </row>
    <row r="85">
      <c r="A85" s="27" t="s">
        <v>29</v>
      </c>
      <c r="B85" s="27" t="s">
        <v>73</v>
      </c>
      <c r="C85" s="27" t="s">
        <v>225</v>
      </c>
      <c r="D85" s="28">
        <v>2.0</v>
      </c>
      <c r="E85" s="29" t="b">
        <v>0</v>
      </c>
      <c r="F85" s="28">
        <f t="shared" si="1"/>
        <v>0</v>
      </c>
    </row>
    <row r="86">
      <c r="A86" s="27" t="s">
        <v>29</v>
      </c>
      <c r="B86" s="27" t="s">
        <v>73</v>
      </c>
      <c r="C86" s="27" t="s">
        <v>226</v>
      </c>
      <c r="D86" s="28">
        <v>2.0</v>
      </c>
      <c r="E86" s="29" t="b">
        <v>0</v>
      </c>
      <c r="F86" s="28">
        <f t="shared" si="1"/>
        <v>0</v>
      </c>
    </row>
    <row r="87">
      <c r="A87" s="27" t="s">
        <v>29</v>
      </c>
      <c r="B87" s="27" t="s">
        <v>73</v>
      </c>
      <c r="C87" s="27" t="s">
        <v>227</v>
      </c>
      <c r="D87" s="28">
        <v>2.0</v>
      </c>
      <c r="E87" s="29" t="b">
        <v>0</v>
      </c>
      <c r="F87" s="28">
        <f t="shared" si="1"/>
        <v>0</v>
      </c>
    </row>
    <row r="88">
      <c r="A88" s="27" t="s">
        <v>29</v>
      </c>
      <c r="B88" s="27" t="s">
        <v>73</v>
      </c>
      <c r="C88" s="27" t="s">
        <v>160</v>
      </c>
      <c r="D88" s="28">
        <v>1.0</v>
      </c>
      <c r="E88" s="29" t="b">
        <v>1</v>
      </c>
      <c r="F88" s="28">
        <f t="shared" si="1"/>
        <v>1</v>
      </c>
    </row>
    <row r="89">
      <c r="A89" s="27" t="s">
        <v>29</v>
      </c>
      <c r="B89" s="27" t="s">
        <v>75</v>
      </c>
      <c r="C89" s="27" t="s">
        <v>228</v>
      </c>
      <c r="D89" s="28">
        <v>1.0</v>
      </c>
      <c r="E89" s="29" t="b">
        <v>1</v>
      </c>
      <c r="F89" s="28">
        <f t="shared" si="1"/>
        <v>1</v>
      </c>
    </row>
    <row r="90">
      <c r="A90" s="27" t="s">
        <v>29</v>
      </c>
      <c r="B90" s="27" t="s">
        <v>75</v>
      </c>
      <c r="C90" s="27" t="s">
        <v>229</v>
      </c>
      <c r="D90" s="28">
        <v>2.0</v>
      </c>
      <c r="E90" s="29" t="b">
        <v>0</v>
      </c>
      <c r="F90" s="28">
        <f t="shared" si="1"/>
        <v>0</v>
      </c>
    </row>
    <row r="91">
      <c r="A91" s="27" t="s">
        <v>29</v>
      </c>
      <c r="B91" s="27" t="s">
        <v>75</v>
      </c>
      <c r="C91" s="27" t="s">
        <v>230</v>
      </c>
      <c r="D91" s="28">
        <v>2.0</v>
      </c>
      <c r="E91" s="29" t="b">
        <v>1</v>
      </c>
      <c r="F91" s="28">
        <f t="shared" si="1"/>
        <v>2</v>
      </c>
    </row>
    <row r="92">
      <c r="A92" s="27" t="s">
        <v>29</v>
      </c>
      <c r="B92" s="27" t="s">
        <v>75</v>
      </c>
      <c r="C92" s="27" t="s">
        <v>231</v>
      </c>
      <c r="D92" s="28">
        <v>2.0</v>
      </c>
      <c r="E92" s="29" t="b">
        <v>1</v>
      </c>
      <c r="F92" s="28">
        <f t="shared" si="1"/>
        <v>2</v>
      </c>
    </row>
    <row r="93">
      <c r="A93" s="27" t="s">
        <v>29</v>
      </c>
      <c r="B93" s="27" t="s">
        <v>75</v>
      </c>
      <c r="C93" s="27" t="s">
        <v>232</v>
      </c>
      <c r="D93" s="28">
        <v>1.0</v>
      </c>
      <c r="E93" s="29" t="b">
        <v>1</v>
      </c>
      <c r="F93" s="28">
        <f t="shared" si="1"/>
        <v>1</v>
      </c>
    </row>
    <row r="94">
      <c r="A94" s="27" t="s">
        <v>29</v>
      </c>
      <c r="B94" s="27" t="s">
        <v>75</v>
      </c>
      <c r="C94" s="27" t="s">
        <v>233</v>
      </c>
      <c r="D94" s="28">
        <v>1.0</v>
      </c>
      <c r="E94" s="29" t="b">
        <v>0</v>
      </c>
      <c r="F94" s="28">
        <f t="shared" si="1"/>
        <v>0</v>
      </c>
    </row>
    <row r="95">
      <c r="A95" s="27" t="s">
        <v>29</v>
      </c>
      <c r="B95" s="27" t="s">
        <v>75</v>
      </c>
      <c r="C95" s="27" t="s">
        <v>234</v>
      </c>
      <c r="D95" s="28">
        <v>1.0</v>
      </c>
      <c r="E95" s="29" t="b">
        <v>0</v>
      </c>
      <c r="F95" s="28">
        <f t="shared" si="1"/>
        <v>0</v>
      </c>
    </row>
    <row r="96">
      <c r="A96" s="27" t="s">
        <v>29</v>
      </c>
      <c r="B96" s="27" t="s">
        <v>75</v>
      </c>
      <c r="C96" s="27" t="s">
        <v>235</v>
      </c>
      <c r="D96" s="28">
        <v>1.0</v>
      </c>
      <c r="E96" s="29" t="b">
        <v>0</v>
      </c>
      <c r="F96" s="28">
        <f t="shared" si="1"/>
        <v>0</v>
      </c>
    </row>
    <row r="97">
      <c r="A97" s="27" t="s">
        <v>29</v>
      </c>
      <c r="B97" s="27" t="s">
        <v>75</v>
      </c>
      <c r="C97" s="27" t="s">
        <v>236</v>
      </c>
      <c r="D97" s="28">
        <v>1.0</v>
      </c>
      <c r="E97" s="29" t="b">
        <v>1</v>
      </c>
      <c r="F97" s="28">
        <f t="shared" si="1"/>
        <v>1</v>
      </c>
    </row>
    <row r="98">
      <c r="A98" s="27" t="s">
        <v>29</v>
      </c>
      <c r="B98" s="27" t="s">
        <v>75</v>
      </c>
      <c r="C98" s="27" t="s">
        <v>160</v>
      </c>
      <c r="D98" s="28">
        <v>1.0</v>
      </c>
      <c r="E98" s="29" t="b">
        <v>1</v>
      </c>
      <c r="F98" s="28">
        <f t="shared" si="1"/>
        <v>1</v>
      </c>
    </row>
    <row r="99">
      <c r="A99" s="27" t="s">
        <v>29</v>
      </c>
      <c r="B99" s="27" t="s">
        <v>77</v>
      </c>
      <c r="C99" s="27" t="s">
        <v>237</v>
      </c>
      <c r="D99" s="28">
        <v>1.0</v>
      </c>
      <c r="E99" s="29" t="b">
        <v>1</v>
      </c>
      <c r="F99" s="28">
        <f t="shared" si="1"/>
        <v>1</v>
      </c>
    </row>
    <row r="100">
      <c r="A100" s="27" t="s">
        <v>29</v>
      </c>
      <c r="B100" s="27" t="s">
        <v>77</v>
      </c>
      <c r="C100" s="27" t="s">
        <v>238</v>
      </c>
      <c r="D100" s="28">
        <v>1.0</v>
      </c>
      <c r="E100" s="29" t="b">
        <v>1</v>
      </c>
      <c r="F100" s="28">
        <f t="shared" si="1"/>
        <v>1</v>
      </c>
    </row>
    <row r="101">
      <c r="A101" s="27" t="s">
        <v>29</v>
      </c>
      <c r="B101" s="27" t="s">
        <v>77</v>
      </c>
      <c r="C101" s="27" t="s">
        <v>239</v>
      </c>
      <c r="D101" s="28">
        <v>2.0</v>
      </c>
      <c r="E101" s="29" t="b">
        <v>1</v>
      </c>
      <c r="F101" s="28">
        <f t="shared" si="1"/>
        <v>2</v>
      </c>
    </row>
    <row r="102">
      <c r="A102" s="27" t="s">
        <v>29</v>
      </c>
      <c r="B102" s="27" t="s">
        <v>77</v>
      </c>
      <c r="C102" s="27" t="s">
        <v>240</v>
      </c>
      <c r="D102" s="28">
        <v>2.0</v>
      </c>
      <c r="E102" s="29" t="b">
        <v>0</v>
      </c>
      <c r="F102" s="28">
        <f t="shared" si="1"/>
        <v>0</v>
      </c>
    </row>
    <row r="103">
      <c r="A103" s="27" t="s">
        <v>29</v>
      </c>
      <c r="B103" s="27" t="s">
        <v>77</v>
      </c>
      <c r="C103" s="27" t="s">
        <v>241</v>
      </c>
      <c r="D103" s="28">
        <v>1.0</v>
      </c>
      <c r="E103" s="29" t="b">
        <v>0</v>
      </c>
      <c r="F103" s="28">
        <f t="shared" si="1"/>
        <v>0</v>
      </c>
    </row>
    <row r="104">
      <c r="A104" s="27" t="s">
        <v>29</v>
      </c>
      <c r="B104" s="27" t="s">
        <v>77</v>
      </c>
      <c r="C104" s="27" t="s">
        <v>242</v>
      </c>
      <c r="D104" s="28">
        <v>3.0</v>
      </c>
      <c r="E104" s="29" t="b">
        <v>1</v>
      </c>
      <c r="F104" s="28">
        <f t="shared" si="1"/>
        <v>3</v>
      </c>
    </row>
    <row r="105">
      <c r="A105" s="27" t="s">
        <v>29</v>
      </c>
      <c r="B105" s="27" t="s">
        <v>77</v>
      </c>
      <c r="C105" s="27" t="s">
        <v>243</v>
      </c>
      <c r="D105" s="28">
        <v>2.0</v>
      </c>
      <c r="E105" s="29" t="b">
        <v>1</v>
      </c>
      <c r="F105" s="28">
        <f t="shared" si="1"/>
        <v>2</v>
      </c>
    </row>
    <row r="106">
      <c r="A106" s="27" t="s">
        <v>29</v>
      </c>
      <c r="B106" s="27" t="s">
        <v>77</v>
      </c>
      <c r="C106" s="27" t="s">
        <v>244</v>
      </c>
      <c r="D106" s="28">
        <v>1.0</v>
      </c>
      <c r="E106" s="29" t="b">
        <v>1</v>
      </c>
      <c r="F106" s="28">
        <f t="shared" si="1"/>
        <v>1</v>
      </c>
    </row>
    <row r="107">
      <c r="A107" s="27" t="s">
        <v>29</v>
      </c>
      <c r="B107" s="27" t="s">
        <v>77</v>
      </c>
      <c r="C107" s="27" t="s">
        <v>245</v>
      </c>
      <c r="D107" s="28">
        <v>1.0</v>
      </c>
      <c r="E107" s="29" t="b">
        <v>1</v>
      </c>
      <c r="F107" s="28">
        <f t="shared" si="1"/>
        <v>1</v>
      </c>
    </row>
    <row r="108">
      <c r="A108" s="27" t="s">
        <v>29</v>
      </c>
      <c r="B108" s="27" t="s">
        <v>77</v>
      </c>
      <c r="C108" s="27" t="s">
        <v>160</v>
      </c>
      <c r="D108" s="28">
        <v>1.0</v>
      </c>
      <c r="E108" s="29" t="b">
        <v>1</v>
      </c>
      <c r="F108" s="28">
        <f t="shared" si="1"/>
        <v>1</v>
      </c>
    </row>
    <row r="109">
      <c r="A109" s="27" t="s">
        <v>29</v>
      </c>
      <c r="B109" s="27" t="s">
        <v>79</v>
      </c>
      <c r="C109" s="27" t="s">
        <v>246</v>
      </c>
      <c r="D109" s="28">
        <v>1.0</v>
      </c>
      <c r="E109" s="29" t="b">
        <v>1</v>
      </c>
      <c r="F109" s="28">
        <f t="shared" si="1"/>
        <v>1</v>
      </c>
    </row>
    <row r="110">
      <c r="A110" s="27" t="s">
        <v>29</v>
      </c>
      <c r="B110" s="27" t="s">
        <v>79</v>
      </c>
      <c r="C110" s="27" t="s">
        <v>247</v>
      </c>
      <c r="D110" s="28">
        <v>1.0</v>
      </c>
      <c r="E110" s="29" t="b">
        <v>0</v>
      </c>
      <c r="F110" s="28">
        <f t="shared" si="1"/>
        <v>0</v>
      </c>
    </row>
    <row r="111">
      <c r="A111" s="27" t="s">
        <v>29</v>
      </c>
      <c r="B111" s="27" t="s">
        <v>79</v>
      </c>
      <c r="C111" s="27" t="s">
        <v>248</v>
      </c>
      <c r="D111" s="28">
        <v>1.0</v>
      </c>
      <c r="E111" s="29" t="b">
        <v>0</v>
      </c>
      <c r="F111" s="28">
        <f t="shared" si="1"/>
        <v>0</v>
      </c>
    </row>
    <row r="112">
      <c r="A112" s="27" t="s">
        <v>29</v>
      </c>
      <c r="B112" s="27" t="s">
        <v>79</v>
      </c>
      <c r="C112" s="27" t="s">
        <v>249</v>
      </c>
      <c r="D112" s="28">
        <v>1.0</v>
      </c>
      <c r="E112" s="29" t="b">
        <v>1</v>
      </c>
      <c r="F112" s="28">
        <f t="shared" si="1"/>
        <v>1</v>
      </c>
    </row>
    <row r="113">
      <c r="A113" s="27" t="s">
        <v>29</v>
      </c>
      <c r="B113" s="27" t="s">
        <v>79</v>
      </c>
      <c r="C113" s="27" t="s">
        <v>250</v>
      </c>
      <c r="D113" s="28">
        <v>1.0</v>
      </c>
      <c r="E113" s="29" t="b">
        <v>0</v>
      </c>
      <c r="F113" s="28">
        <f t="shared" si="1"/>
        <v>0</v>
      </c>
    </row>
    <row r="114">
      <c r="A114" s="27" t="s">
        <v>29</v>
      </c>
      <c r="B114" s="27" t="s">
        <v>79</v>
      </c>
      <c r="C114" s="27" t="s">
        <v>251</v>
      </c>
      <c r="D114" s="28">
        <v>1.0</v>
      </c>
      <c r="E114" s="29" t="b">
        <v>0</v>
      </c>
      <c r="F114" s="28">
        <f t="shared" si="1"/>
        <v>0</v>
      </c>
    </row>
    <row r="115">
      <c r="A115" s="27" t="s">
        <v>29</v>
      </c>
      <c r="B115" s="27" t="s">
        <v>79</v>
      </c>
      <c r="C115" s="27" t="s">
        <v>252</v>
      </c>
      <c r="D115" s="28">
        <v>1.0</v>
      </c>
      <c r="E115" s="29" t="b">
        <v>1</v>
      </c>
      <c r="F115" s="28">
        <f t="shared" si="1"/>
        <v>1</v>
      </c>
    </row>
    <row r="116">
      <c r="A116" s="27" t="s">
        <v>29</v>
      </c>
      <c r="B116" s="27" t="s">
        <v>79</v>
      </c>
      <c r="C116" s="27" t="s">
        <v>160</v>
      </c>
      <c r="D116" s="28">
        <v>1.0</v>
      </c>
      <c r="E116" s="29" t="b">
        <v>1</v>
      </c>
      <c r="F116" s="28">
        <f t="shared" si="1"/>
        <v>1</v>
      </c>
    </row>
    <row r="117">
      <c r="A117" s="27" t="s">
        <v>29</v>
      </c>
      <c r="B117" s="27" t="s">
        <v>81</v>
      </c>
      <c r="C117" s="27" t="s">
        <v>253</v>
      </c>
      <c r="D117" s="28">
        <v>2.0</v>
      </c>
      <c r="E117" s="29" t="b">
        <v>1</v>
      </c>
      <c r="F117" s="28">
        <f t="shared" si="1"/>
        <v>2</v>
      </c>
    </row>
    <row r="118">
      <c r="A118" s="27" t="s">
        <v>29</v>
      </c>
      <c r="B118" s="27" t="s">
        <v>81</v>
      </c>
      <c r="C118" s="27" t="s">
        <v>254</v>
      </c>
      <c r="D118" s="28">
        <v>1.0</v>
      </c>
      <c r="E118" s="29" t="b">
        <v>0</v>
      </c>
      <c r="F118" s="28">
        <f t="shared" si="1"/>
        <v>0</v>
      </c>
    </row>
    <row r="119">
      <c r="A119" s="27" t="s">
        <v>29</v>
      </c>
      <c r="B119" s="27" t="s">
        <v>81</v>
      </c>
      <c r="C119" s="27" t="s">
        <v>255</v>
      </c>
      <c r="D119" s="28">
        <v>2.0</v>
      </c>
      <c r="E119" s="29" t="b">
        <v>1</v>
      </c>
      <c r="F119" s="28">
        <f t="shared" si="1"/>
        <v>2</v>
      </c>
    </row>
    <row r="120">
      <c r="A120" s="27" t="s">
        <v>29</v>
      </c>
      <c r="B120" s="27" t="s">
        <v>81</v>
      </c>
      <c r="C120" s="27" t="s">
        <v>256</v>
      </c>
      <c r="D120" s="28">
        <v>1.0</v>
      </c>
      <c r="E120" s="29" t="b">
        <v>0</v>
      </c>
      <c r="F120" s="28">
        <f t="shared" si="1"/>
        <v>0</v>
      </c>
    </row>
    <row r="121">
      <c r="A121" s="27" t="s">
        <v>29</v>
      </c>
      <c r="B121" s="27" t="s">
        <v>81</v>
      </c>
      <c r="C121" s="27" t="s">
        <v>257</v>
      </c>
      <c r="D121" s="28">
        <v>1.0</v>
      </c>
      <c r="E121" s="29" t="b">
        <v>1</v>
      </c>
      <c r="F121" s="28">
        <f t="shared" si="1"/>
        <v>1</v>
      </c>
    </row>
    <row r="122">
      <c r="A122" s="27" t="s">
        <v>29</v>
      </c>
      <c r="B122" s="27" t="s">
        <v>81</v>
      </c>
      <c r="C122" s="27" t="s">
        <v>258</v>
      </c>
      <c r="D122" s="28">
        <v>1.0</v>
      </c>
      <c r="E122" s="29" t="b">
        <v>1</v>
      </c>
      <c r="F122" s="28">
        <f t="shared" si="1"/>
        <v>1</v>
      </c>
    </row>
    <row r="123">
      <c r="A123" s="27" t="s">
        <v>29</v>
      </c>
      <c r="B123" s="27" t="s">
        <v>81</v>
      </c>
      <c r="C123" s="27" t="s">
        <v>259</v>
      </c>
      <c r="D123" s="28">
        <v>1.0</v>
      </c>
      <c r="E123" s="29" t="b">
        <v>1</v>
      </c>
      <c r="F123" s="28">
        <f t="shared" si="1"/>
        <v>1</v>
      </c>
    </row>
    <row r="124">
      <c r="A124" s="27" t="s">
        <v>29</v>
      </c>
      <c r="B124" s="27" t="s">
        <v>81</v>
      </c>
      <c r="C124" s="27" t="s">
        <v>260</v>
      </c>
      <c r="D124" s="28">
        <v>1.0</v>
      </c>
      <c r="E124" s="29" t="b">
        <v>1</v>
      </c>
      <c r="F124" s="28">
        <f t="shared" si="1"/>
        <v>1</v>
      </c>
    </row>
    <row r="125">
      <c r="A125" s="27" t="s">
        <v>29</v>
      </c>
      <c r="B125" s="27" t="s">
        <v>81</v>
      </c>
      <c r="C125" s="27" t="s">
        <v>261</v>
      </c>
      <c r="D125" s="28">
        <v>2.0</v>
      </c>
      <c r="E125" s="29" t="b">
        <v>1</v>
      </c>
      <c r="F125" s="28">
        <f t="shared" si="1"/>
        <v>2</v>
      </c>
    </row>
    <row r="126">
      <c r="A126" s="27" t="s">
        <v>29</v>
      </c>
      <c r="B126" s="27" t="s">
        <v>81</v>
      </c>
      <c r="C126" s="27" t="s">
        <v>262</v>
      </c>
      <c r="D126" s="28">
        <v>1.0</v>
      </c>
      <c r="E126" s="29" t="b">
        <v>1</v>
      </c>
      <c r="F126" s="28">
        <f t="shared" si="1"/>
        <v>1</v>
      </c>
    </row>
    <row r="127">
      <c r="A127" s="27" t="s">
        <v>29</v>
      </c>
      <c r="B127" s="27" t="s">
        <v>81</v>
      </c>
      <c r="C127" s="27" t="s">
        <v>263</v>
      </c>
      <c r="D127" s="28">
        <v>1.0</v>
      </c>
      <c r="E127" s="29" t="b">
        <v>1</v>
      </c>
      <c r="F127" s="28">
        <f t="shared" si="1"/>
        <v>1</v>
      </c>
    </row>
    <row r="128">
      <c r="A128" s="27" t="s">
        <v>29</v>
      </c>
      <c r="B128" s="27" t="s">
        <v>81</v>
      </c>
      <c r="C128" s="27" t="s">
        <v>160</v>
      </c>
      <c r="D128" s="28">
        <v>1.0</v>
      </c>
      <c r="E128" s="29" t="b">
        <v>1</v>
      </c>
      <c r="F128" s="28">
        <f t="shared" si="1"/>
        <v>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C2626"/>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1.38"/>
    <col customWidth="1" min="2" max="2" width="19.5"/>
    <col customWidth="1" min="3" max="3" width="77.63"/>
    <col customWidth="1" min="4" max="6" width="7.0"/>
  </cols>
  <sheetData>
    <row r="1">
      <c r="A1" s="26" t="s">
        <v>144</v>
      </c>
      <c r="B1" s="26" t="s">
        <v>145</v>
      </c>
      <c r="C1" s="26" t="s">
        <v>146</v>
      </c>
      <c r="D1" s="26" t="s">
        <v>147</v>
      </c>
      <c r="E1" s="26" t="s">
        <v>148</v>
      </c>
      <c r="F1" s="26" t="s">
        <v>149</v>
      </c>
    </row>
    <row r="2">
      <c r="A2" s="27" t="s">
        <v>29</v>
      </c>
      <c r="B2" s="27" t="s">
        <v>83</v>
      </c>
      <c r="C2" s="27" t="s">
        <v>264</v>
      </c>
      <c r="D2" s="28">
        <v>1.0</v>
      </c>
      <c r="E2" s="29" t="b">
        <v>1</v>
      </c>
      <c r="F2" s="28">
        <f t="shared" ref="F2:F40" si="1">IF(E2,D2,0)</f>
        <v>1</v>
      </c>
    </row>
    <row r="3">
      <c r="A3" s="27" t="s">
        <v>29</v>
      </c>
      <c r="B3" s="27" t="s">
        <v>83</v>
      </c>
      <c r="C3" s="27" t="s">
        <v>265</v>
      </c>
      <c r="D3" s="28">
        <v>1.0</v>
      </c>
      <c r="E3" s="29" t="b">
        <v>1</v>
      </c>
      <c r="F3" s="28">
        <f t="shared" si="1"/>
        <v>1</v>
      </c>
    </row>
    <row r="4">
      <c r="A4" s="27" t="s">
        <v>29</v>
      </c>
      <c r="B4" s="27" t="s">
        <v>85</v>
      </c>
      <c r="C4" s="27" t="s">
        <v>266</v>
      </c>
      <c r="D4" s="28">
        <v>1.0</v>
      </c>
      <c r="E4" s="29" t="b">
        <v>1</v>
      </c>
      <c r="F4" s="28">
        <f t="shared" si="1"/>
        <v>1</v>
      </c>
    </row>
    <row r="5">
      <c r="A5" s="27" t="s">
        <v>29</v>
      </c>
      <c r="B5" s="27" t="s">
        <v>85</v>
      </c>
      <c r="C5" s="27" t="s">
        <v>267</v>
      </c>
      <c r="D5" s="28">
        <v>1.0</v>
      </c>
      <c r="E5" s="29" t="b">
        <v>1</v>
      </c>
      <c r="F5" s="28">
        <f t="shared" si="1"/>
        <v>1</v>
      </c>
    </row>
    <row r="6">
      <c r="A6" s="27" t="s">
        <v>29</v>
      </c>
      <c r="B6" s="27" t="s">
        <v>87</v>
      </c>
      <c r="C6" s="27" t="s">
        <v>268</v>
      </c>
      <c r="D6" s="28">
        <v>1.0</v>
      </c>
      <c r="E6" s="29" t="b">
        <v>1</v>
      </c>
      <c r="F6" s="28">
        <f t="shared" si="1"/>
        <v>1</v>
      </c>
    </row>
    <row r="7">
      <c r="A7" s="27" t="s">
        <v>29</v>
      </c>
      <c r="B7" s="27" t="s">
        <v>87</v>
      </c>
      <c r="C7" s="27" t="s">
        <v>269</v>
      </c>
      <c r="D7" s="28">
        <v>1.0</v>
      </c>
      <c r="E7" s="29" t="b">
        <v>1</v>
      </c>
      <c r="F7" s="28">
        <f t="shared" si="1"/>
        <v>1</v>
      </c>
    </row>
    <row r="8">
      <c r="A8" s="27" t="s">
        <v>29</v>
      </c>
      <c r="B8" s="27" t="s">
        <v>89</v>
      </c>
      <c r="C8" s="27" t="s">
        <v>270</v>
      </c>
      <c r="D8" s="28">
        <v>2.0</v>
      </c>
      <c r="E8" s="29" t="b">
        <v>1</v>
      </c>
      <c r="F8" s="28">
        <f t="shared" si="1"/>
        <v>2</v>
      </c>
    </row>
    <row r="9">
      <c r="A9" s="27" t="s">
        <v>29</v>
      </c>
      <c r="B9" s="27" t="s">
        <v>89</v>
      </c>
      <c r="C9" s="27" t="s">
        <v>271</v>
      </c>
      <c r="D9" s="28">
        <v>1.0</v>
      </c>
      <c r="E9" s="29" t="b">
        <v>1</v>
      </c>
      <c r="F9" s="28">
        <f t="shared" si="1"/>
        <v>1</v>
      </c>
    </row>
    <row r="10">
      <c r="A10" s="27" t="s">
        <v>29</v>
      </c>
      <c r="B10" s="27" t="s">
        <v>91</v>
      </c>
      <c r="C10" s="27" t="s">
        <v>272</v>
      </c>
      <c r="D10" s="28">
        <v>1.0</v>
      </c>
      <c r="E10" s="29" t="b">
        <v>1</v>
      </c>
      <c r="F10" s="28">
        <f t="shared" si="1"/>
        <v>1</v>
      </c>
    </row>
    <row r="11">
      <c r="A11" s="27" t="s">
        <v>29</v>
      </c>
      <c r="B11" s="27" t="s">
        <v>91</v>
      </c>
      <c r="C11" s="27" t="s">
        <v>273</v>
      </c>
      <c r="D11" s="28">
        <v>1.0</v>
      </c>
      <c r="E11" s="29" t="b">
        <v>1</v>
      </c>
      <c r="F11" s="28">
        <f t="shared" si="1"/>
        <v>1</v>
      </c>
    </row>
    <row r="12">
      <c r="A12" s="27" t="s">
        <v>29</v>
      </c>
      <c r="B12" s="27" t="s">
        <v>91</v>
      </c>
      <c r="C12" s="27" t="s">
        <v>274</v>
      </c>
      <c r="D12" s="28">
        <v>1.0</v>
      </c>
      <c r="E12" s="29" t="b">
        <v>1</v>
      </c>
      <c r="F12" s="28">
        <f t="shared" si="1"/>
        <v>1</v>
      </c>
    </row>
    <row r="13">
      <c r="A13" s="27" t="s">
        <v>29</v>
      </c>
      <c r="B13" s="27" t="s">
        <v>93</v>
      </c>
      <c r="C13" s="27" t="s">
        <v>275</v>
      </c>
      <c r="D13" s="28">
        <v>2.0</v>
      </c>
      <c r="E13" s="29" t="b">
        <v>1</v>
      </c>
      <c r="F13" s="28">
        <f t="shared" si="1"/>
        <v>2</v>
      </c>
    </row>
    <row r="14">
      <c r="A14" s="27" t="s">
        <v>29</v>
      </c>
      <c r="B14" s="27" t="s">
        <v>93</v>
      </c>
      <c r="C14" s="27" t="s">
        <v>276</v>
      </c>
      <c r="D14" s="28">
        <v>1.0</v>
      </c>
      <c r="E14" s="29" t="b">
        <v>1</v>
      </c>
      <c r="F14" s="28">
        <f t="shared" si="1"/>
        <v>1</v>
      </c>
    </row>
    <row r="15">
      <c r="A15" s="27" t="s">
        <v>29</v>
      </c>
      <c r="B15" s="27" t="s">
        <v>95</v>
      </c>
      <c r="C15" s="27" t="s">
        <v>277</v>
      </c>
      <c r="D15" s="28">
        <v>2.0</v>
      </c>
      <c r="E15" s="29" t="b">
        <v>1</v>
      </c>
      <c r="F15" s="28">
        <f t="shared" si="1"/>
        <v>2</v>
      </c>
    </row>
    <row r="16">
      <c r="A16" s="27" t="s">
        <v>29</v>
      </c>
      <c r="B16" s="27" t="s">
        <v>95</v>
      </c>
      <c r="C16" s="27" t="s">
        <v>278</v>
      </c>
      <c r="D16" s="28">
        <v>1.0</v>
      </c>
      <c r="E16" s="29" t="b">
        <v>1</v>
      </c>
      <c r="F16" s="28">
        <f t="shared" si="1"/>
        <v>1</v>
      </c>
    </row>
    <row r="17">
      <c r="A17" s="27" t="s">
        <v>29</v>
      </c>
      <c r="B17" s="27" t="s">
        <v>95</v>
      </c>
      <c r="C17" s="27" t="s">
        <v>279</v>
      </c>
      <c r="D17" s="28">
        <v>1.0</v>
      </c>
      <c r="E17" s="29" t="b">
        <v>1</v>
      </c>
      <c r="F17" s="28">
        <f t="shared" si="1"/>
        <v>1</v>
      </c>
    </row>
    <row r="18">
      <c r="A18" s="27" t="s">
        <v>29</v>
      </c>
      <c r="B18" s="27" t="s">
        <v>97</v>
      </c>
      <c r="C18" s="27" t="s">
        <v>280</v>
      </c>
      <c r="D18" s="28">
        <v>1.0</v>
      </c>
      <c r="E18" s="29" t="b">
        <v>1</v>
      </c>
      <c r="F18" s="28">
        <f t="shared" si="1"/>
        <v>1</v>
      </c>
    </row>
    <row r="19">
      <c r="A19" s="27" t="s">
        <v>29</v>
      </c>
      <c r="B19" s="27" t="s">
        <v>97</v>
      </c>
      <c r="C19" s="27" t="s">
        <v>281</v>
      </c>
      <c r="D19" s="28">
        <v>1.0</v>
      </c>
      <c r="E19" s="29" t="b">
        <v>1</v>
      </c>
      <c r="F19" s="28">
        <f t="shared" si="1"/>
        <v>1</v>
      </c>
    </row>
    <row r="20">
      <c r="A20" s="27" t="s">
        <v>29</v>
      </c>
      <c r="B20" s="27" t="s">
        <v>99</v>
      </c>
      <c r="C20" s="27" t="s">
        <v>282</v>
      </c>
      <c r="D20" s="28">
        <v>3.0</v>
      </c>
      <c r="E20" s="29" t="b">
        <v>1</v>
      </c>
      <c r="F20" s="28">
        <f t="shared" si="1"/>
        <v>3</v>
      </c>
    </row>
    <row r="21">
      <c r="A21" s="27" t="s">
        <v>29</v>
      </c>
      <c r="B21" s="27" t="s">
        <v>99</v>
      </c>
      <c r="C21" s="27" t="s">
        <v>283</v>
      </c>
      <c r="D21" s="28">
        <v>1.0</v>
      </c>
      <c r="E21" s="29" t="b">
        <v>1</v>
      </c>
      <c r="F21" s="28">
        <f t="shared" si="1"/>
        <v>1</v>
      </c>
    </row>
    <row r="22">
      <c r="A22" s="27" t="s">
        <v>29</v>
      </c>
      <c r="B22" s="27" t="s">
        <v>101</v>
      </c>
      <c r="C22" s="27" t="s">
        <v>284</v>
      </c>
      <c r="D22" s="28">
        <v>1.0</v>
      </c>
      <c r="E22" s="29" t="b">
        <v>1</v>
      </c>
      <c r="F22" s="28">
        <f t="shared" si="1"/>
        <v>1</v>
      </c>
    </row>
    <row r="23">
      <c r="A23" s="27" t="s">
        <v>29</v>
      </c>
      <c r="B23" s="27" t="s">
        <v>101</v>
      </c>
      <c r="C23" s="27" t="s">
        <v>285</v>
      </c>
      <c r="D23" s="28">
        <v>1.0</v>
      </c>
      <c r="E23" s="29" t="b">
        <v>1</v>
      </c>
      <c r="F23" s="28">
        <f t="shared" si="1"/>
        <v>1</v>
      </c>
    </row>
    <row r="24">
      <c r="A24" s="27" t="s">
        <v>29</v>
      </c>
      <c r="B24" s="27" t="s">
        <v>103</v>
      </c>
      <c r="C24" s="27" t="s">
        <v>286</v>
      </c>
      <c r="D24" s="28">
        <v>1.0</v>
      </c>
      <c r="E24" s="29" t="b">
        <v>1</v>
      </c>
      <c r="F24" s="28">
        <f t="shared" si="1"/>
        <v>1</v>
      </c>
    </row>
    <row r="25">
      <c r="A25" s="27" t="s">
        <v>29</v>
      </c>
      <c r="B25" s="27" t="s">
        <v>103</v>
      </c>
      <c r="C25" s="27" t="s">
        <v>287</v>
      </c>
      <c r="D25" s="28">
        <v>1.0</v>
      </c>
      <c r="E25" s="29" t="b">
        <v>1</v>
      </c>
      <c r="F25" s="28">
        <f t="shared" si="1"/>
        <v>1</v>
      </c>
    </row>
    <row r="26">
      <c r="A26" s="27" t="s">
        <v>29</v>
      </c>
      <c r="B26" s="27" t="s">
        <v>105</v>
      </c>
      <c r="C26" s="27" t="s">
        <v>288</v>
      </c>
      <c r="D26" s="28">
        <v>2.0</v>
      </c>
      <c r="E26" s="29" t="b">
        <v>1</v>
      </c>
      <c r="F26" s="28">
        <f t="shared" si="1"/>
        <v>2</v>
      </c>
    </row>
    <row r="27">
      <c r="A27" s="27" t="s">
        <v>29</v>
      </c>
      <c r="B27" s="27" t="s">
        <v>105</v>
      </c>
      <c r="C27" s="27" t="s">
        <v>289</v>
      </c>
      <c r="D27" s="28">
        <v>1.0</v>
      </c>
      <c r="E27" s="29" t="b">
        <v>1</v>
      </c>
      <c r="F27" s="28">
        <f t="shared" si="1"/>
        <v>1</v>
      </c>
    </row>
    <row r="28">
      <c r="A28" s="27" t="s">
        <v>29</v>
      </c>
      <c r="B28" s="27" t="s">
        <v>107</v>
      </c>
      <c r="C28" s="27" t="s">
        <v>290</v>
      </c>
      <c r="D28" s="28">
        <v>2.0</v>
      </c>
      <c r="E28" s="29" t="b">
        <v>1</v>
      </c>
      <c r="F28" s="28">
        <f t="shared" si="1"/>
        <v>2</v>
      </c>
    </row>
    <row r="29">
      <c r="A29" s="27" t="s">
        <v>29</v>
      </c>
      <c r="B29" s="27" t="s">
        <v>109</v>
      </c>
      <c r="C29" s="27" t="s">
        <v>291</v>
      </c>
      <c r="D29" s="28">
        <v>2.0</v>
      </c>
      <c r="E29" s="29" t="b">
        <v>1</v>
      </c>
      <c r="F29" s="28">
        <f t="shared" si="1"/>
        <v>2</v>
      </c>
    </row>
    <row r="30">
      <c r="A30" s="27" t="s">
        <v>29</v>
      </c>
      <c r="B30" s="27" t="s">
        <v>109</v>
      </c>
      <c r="C30" s="27" t="s">
        <v>292</v>
      </c>
      <c r="D30" s="28">
        <v>1.0</v>
      </c>
      <c r="E30" s="29" t="b">
        <v>1</v>
      </c>
      <c r="F30" s="28">
        <f t="shared" si="1"/>
        <v>1</v>
      </c>
    </row>
    <row r="31">
      <c r="A31" s="27" t="s">
        <v>29</v>
      </c>
      <c r="B31" s="27" t="s">
        <v>111</v>
      </c>
      <c r="C31" s="27" t="s">
        <v>293</v>
      </c>
      <c r="D31" s="28">
        <v>1.0</v>
      </c>
      <c r="E31" s="29" t="b">
        <v>1</v>
      </c>
      <c r="F31" s="28">
        <f t="shared" si="1"/>
        <v>1</v>
      </c>
    </row>
    <row r="32">
      <c r="A32" s="27" t="s">
        <v>29</v>
      </c>
      <c r="B32" s="27" t="s">
        <v>111</v>
      </c>
      <c r="C32" s="27" t="s">
        <v>294</v>
      </c>
      <c r="D32" s="28">
        <v>1.0</v>
      </c>
      <c r="E32" s="29" t="b">
        <v>1</v>
      </c>
      <c r="F32" s="28">
        <f t="shared" si="1"/>
        <v>1</v>
      </c>
    </row>
    <row r="33">
      <c r="A33" s="27" t="s">
        <v>29</v>
      </c>
      <c r="B33" s="27" t="s">
        <v>113</v>
      </c>
      <c r="C33" s="27" t="s">
        <v>295</v>
      </c>
      <c r="D33" s="28">
        <v>3.0</v>
      </c>
      <c r="E33" s="29" t="b">
        <v>1</v>
      </c>
      <c r="F33" s="28">
        <f t="shared" si="1"/>
        <v>3</v>
      </c>
    </row>
    <row r="34">
      <c r="A34" s="27" t="s">
        <v>29</v>
      </c>
      <c r="B34" s="27" t="s">
        <v>113</v>
      </c>
      <c r="C34" s="27" t="s">
        <v>296</v>
      </c>
      <c r="D34" s="28">
        <v>1.0</v>
      </c>
      <c r="E34" s="29" t="b">
        <v>1</v>
      </c>
      <c r="F34" s="28">
        <f t="shared" si="1"/>
        <v>1</v>
      </c>
    </row>
    <row r="35">
      <c r="A35" s="27" t="s">
        <v>29</v>
      </c>
      <c r="B35" s="27" t="s">
        <v>115</v>
      </c>
      <c r="C35" s="27" t="s">
        <v>297</v>
      </c>
      <c r="D35" s="28">
        <v>3.0</v>
      </c>
      <c r="E35" s="29" t="b">
        <v>1</v>
      </c>
      <c r="F35" s="28">
        <f t="shared" si="1"/>
        <v>3</v>
      </c>
    </row>
    <row r="36">
      <c r="A36" s="27" t="s">
        <v>29</v>
      </c>
      <c r="B36" s="27" t="s">
        <v>117</v>
      </c>
      <c r="C36" s="27" t="s">
        <v>298</v>
      </c>
      <c r="D36" s="28">
        <v>2.0</v>
      </c>
      <c r="E36" s="29" t="b">
        <v>1</v>
      </c>
      <c r="F36" s="28">
        <f t="shared" si="1"/>
        <v>2</v>
      </c>
    </row>
    <row r="37">
      <c r="A37" s="27" t="s">
        <v>29</v>
      </c>
      <c r="B37" s="27" t="s">
        <v>117</v>
      </c>
      <c r="C37" s="27" t="s">
        <v>299</v>
      </c>
      <c r="D37" s="28">
        <v>1.0</v>
      </c>
      <c r="E37" s="29" t="b">
        <v>1</v>
      </c>
      <c r="F37" s="28">
        <f t="shared" si="1"/>
        <v>1</v>
      </c>
    </row>
    <row r="38">
      <c r="A38" s="27" t="s">
        <v>29</v>
      </c>
      <c r="B38" s="27" t="s">
        <v>117</v>
      </c>
      <c r="C38" s="27" t="s">
        <v>300</v>
      </c>
      <c r="D38" s="28">
        <v>1.0</v>
      </c>
      <c r="E38" s="29" t="b">
        <v>1</v>
      </c>
      <c r="F38" s="28">
        <f t="shared" si="1"/>
        <v>1</v>
      </c>
    </row>
    <row r="39">
      <c r="A39" s="27" t="s">
        <v>29</v>
      </c>
      <c r="B39" s="27" t="s">
        <v>119</v>
      </c>
      <c r="C39" s="27" t="s">
        <v>301</v>
      </c>
      <c r="D39" s="28">
        <v>2.0</v>
      </c>
      <c r="E39" s="29" t="b">
        <v>1</v>
      </c>
      <c r="F39" s="28">
        <f t="shared" si="1"/>
        <v>2</v>
      </c>
    </row>
    <row r="40">
      <c r="A40" s="27" t="s">
        <v>29</v>
      </c>
      <c r="B40" s="27" t="s">
        <v>119</v>
      </c>
      <c r="C40" s="27" t="s">
        <v>302</v>
      </c>
      <c r="D40" s="28">
        <v>1.0</v>
      </c>
      <c r="E40" s="29" t="b">
        <v>1</v>
      </c>
      <c r="F40" s="28">
        <f t="shared" si="1"/>
        <v>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7706"/>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1.38"/>
    <col customWidth="1" min="2" max="2" width="19.5"/>
    <col customWidth="1" min="3" max="3" width="77.63"/>
    <col customWidth="1" min="4" max="6" width="7.0"/>
  </cols>
  <sheetData>
    <row r="1">
      <c r="A1" s="26" t="s">
        <v>144</v>
      </c>
      <c r="B1" s="26" t="s">
        <v>145</v>
      </c>
      <c r="C1" s="26" t="s">
        <v>146</v>
      </c>
      <c r="D1" s="26" t="s">
        <v>147</v>
      </c>
      <c r="E1" s="26" t="s">
        <v>148</v>
      </c>
      <c r="F1" s="26" t="s">
        <v>149</v>
      </c>
    </row>
    <row r="2">
      <c r="A2" s="27" t="s">
        <v>29</v>
      </c>
      <c r="B2" s="27" t="s">
        <v>121</v>
      </c>
      <c r="C2" s="27" t="s">
        <v>303</v>
      </c>
      <c r="D2" s="28">
        <v>2.0</v>
      </c>
      <c r="E2" s="29" t="b">
        <v>1</v>
      </c>
      <c r="F2" s="28">
        <f t="shared" ref="F2:F16" si="1">IF(E2,D2,0)</f>
        <v>2</v>
      </c>
    </row>
    <row r="3">
      <c r="A3" s="27" t="s">
        <v>29</v>
      </c>
      <c r="B3" s="27" t="s">
        <v>123</v>
      </c>
      <c r="C3" s="27" t="s">
        <v>304</v>
      </c>
      <c r="D3" s="28">
        <v>2.0</v>
      </c>
      <c r="E3" s="29" t="b">
        <v>1</v>
      </c>
      <c r="F3" s="28">
        <f t="shared" si="1"/>
        <v>2</v>
      </c>
    </row>
    <row r="4">
      <c r="A4" s="27" t="s">
        <v>29</v>
      </c>
      <c r="B4" s="27" t="s">
        <v>125</v>
      </c>
      <c r="C4" s="27" t="s">
        <v>305</v>
      </c>
      <c r="D4" s="28">
        <v>2.0</v>
      </c>
      <c r="E4" s="29" t="b">
        <v>1</v>
      </c>
      <c r="F4" s="28">
        <f t="shared" si="1"/>
        <v>2</v>
      </c>
    </row>
    <row r="5">
      <c r="A5" s="27" t="s">
        <v>29</v>
      </c>
      <c r="B5" s="27" t="s">
        <v>127</v>
      </c>
      <c r="C5" s="27" t="s">
        <v>306</v>
      </c>
      <c r="D5" s="28">
        <v>2.0</v>
      </c>
      <c r="E5" s="29" t="b">
        <v>1</v>
      </c>
      <c r="F5" s="28">
        <f t="shared" si="1"/>
        <v>2</v>
      </c>
    </row>
    <row r="6">
      <c r="A6" s="27" t="s">
        <v>29</v>
      </c>
      <c r="B6" s="27" t="s">
        <v>127</v>
      </c>
      <c r="C6" s="27" t="s">
        <v>307</v>
      </c>
      <c r="D6" s="28">
        <v>1.0</v>
      </c>
      <c r="E6" s="29" t="b">
        <v>1</v>
      </c>
      <c r="F6" s="28">
        <f t="shared" si="1"/>
        <v>1</v>
      </c>
    </row>
    <row r="7">
      <c r="A7" s="27" t="s">
        <v>29</v>
      </c>
      <c r="B7" s="27" t="s">
        <v>127</v>
      </c>
      <c r="C7" s="27" t="s">
        <v>308</v>
      </c>
      <c r="D7" s="28">
        <v>1.0</v>
      </c>
      <c r="E7" s="29" t="b">
        <v>1</v>
      </c>
      <c r="F7" s="28">
        <f t="shared" si="1"/>
        <v>1</v>
      </c>
    </row>
    <row r="8">
      <c r="A8" s="27" t="s">
        <v>29</v>
      </c>
      <c r="B8" s="27" t="s">
        <v>127</v>
      </c>
      <c r="C8" s="27" t="s">
        <v>309</v>
      </c>
      <c r="D8" s="28">
        <v>1.0</v>
      </c>
      <c r="E8" s="29" t="b">
        <v>1</v>
      </c>
      <c r="F8" s="28">
        <f t="shared" si="1"/>
        <v>1</v>
      </c>
    </row>
    <row r="9">
      <c r="A9" s="27" t="s">
        <v>29</v>
      </c>
      <c r="B9" s="27" t="s">
        <v>129</v>
      </c>
      <c r="C9" s="27" t="s">
        <v>310</v>
      </c>
      <c r="D9" s="28">
        <v>2.0</v>
      </c>
      <c r="E9" s="29" t="b">
        <v>1</v>
      </c>
      <c r="F9" s="28">
        <f t="shared" si="1"/>
        <v>2</v>
      </c>
    </row>
    <row r="10">
      <c r="A10" s="27" t="s">
        <v>29</v>
      </c>
      <c r="B10" s="27" t="s">
        <v>129</v>
      </c>
      <c r="C10" s="27" t="s">
        <v>311</v>
      </c>
      <c r="D10" s="28">
        <v>1.0</v>
      </c>
      <c r="E10" s="29" t="b">
        <v>1</v>
      </c>
      <c r="F10" s="28">
        <f t="shared" si="1"/>
        <v>1</v>
      </c>
    </row>
    <row r="11">
      <c r="A11" s="27" t="s">
        <v>29</v>
      </c>
      <c r="B11" s="27" t="s">
        <v>131</v>
      </c>
      <c r="C11" s="27" t="s">
        <v>312</v>
      </c>
      <c r="D11" s="28">
        <v>2.0</v>
      </c>
      <c r="E11" s="29" t="b">
        <v>1</v>
      </c>
      <c r="F11" s="28">
        <f t="shared" si="1"/>
        <v>2</v>
      </c>
    </row>
    <row r="12">
      <c r="A12" s="27" t="s">
        <v>29</v>
      </c>
      <c r="B12" s="27" t="s">
        <v>131</v>
      </c>
      <c r="C12" s="27" t="s">
        <v>313</v>
      </c>
      <c r="D12" s="28">
        <v>1.0</v>
      </c>
      <c r="E12" s="29" t="b">
        <v>0</v>
      </c>
      <c r="F12" s="28">
        <f t="shared" si="1"/>
        <v>0</v>
      </c>
    </row>
    <row r="13">
      <c r="A13" s="27" t="s">
        <v>29</v>
      </c>
      <c r="B13" s="27" t="s">
        <v>131</v>
      </c>
      <c r="C13" s="27" t="s">
        <v>314</v>
      </c>
      <c r="D13" s="28">
        <v>1.0</v>
      </c>
      <c r="E13" s="29" t="b">
        <v>0</v>
      </c>
      <c r="F13" s="28">
        <f t="shared" si="1"/>
        <v>0</v>
      </c>
    </row>
    <row r="14">
      <c r="A14" s="27" t="s">
        <v>29</v>
      </c>
      <c r="B14" s="27" t="s">
        <v>133</v>
      </c>
      <c r="C14" s="27" t="s">
        <v>315</v>
      </c>
      <c r="D14" s="28">
        <v>2.0</v>
      </c>
      <c r="E14" s="29" t="b">
        <v>1</v>
      </c>
      <c r="F14" s="28">
        <f t="shared" si="1"/>
        <v>2</v>
      </c>
    </row>
    <row r="15">
      <c r="A15" s="27" t="s">
        <v>29</v>
      </c>
      <c r="B15" s="27" t="s">
        <v>135</v>
      </c>
      <c r="C15" s="27" t="s">
        <v>316</v>
      </c>
      <c r="D15" s="28">
        <v>1.0</v>
      </c>
      <c r="E15" s="29" t="b">
        <v>1</v>
      </c>
      <c r="F15" s="28">
        <f t="shared" si="1"/>
        <v>1</v>
      </c>
    </row>
    <row r="16">
      <c r="A16" s="27" t="s">
        <v>29</v>
      </c>
      <c r="B16" s="27" t="s">
        <v>135</v>
      </c>
      <c r="C16" s="27" t="s">
        <v>317</v>
      </c>
      <c r="D16" s="28">
        <v>1.0</v>
      </c>
      <c r="E16" s="29" t="b">
        <v>1</v>
      </c>
      <c r="F16" s="28">
        <f t="shared" si="1"/>
        <v>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C3AED"/>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1.38"/>
    <col customWidth="1" min="2" max="2" width="19.5"/>
    <col customWidth="1" min="3" max="3" width="77.63"/>
    <col customWidth="1" min="4" max="6" width="7.0"/>
  </cols>
  <sheetData>
    <row r="1">
      <c r="A1" s="26" t="s">
        <v>144</v>
      </c>
      <c r="B1" s="26" t="s">
        <v>145</v>
      </c>
      <c r="C1" s="26" t="s">
        <v>146</v>
      </c>
      <c r="D1" s="26" t="s">
        <v>147</v>
      </c>
      <c r="E1" s="26" t="s">
        <v>148</v>
      </c>
      <c r="F1" s="26" t="s">
        <v>149</v>
      </c>
    </row>
    <row r="2">
      <c r="A2" s="27" t="s">
        <v>31</v>
      </c>
      <c r="B2" s="27" t="s">
        <v>137</v>
      </c>
      <c r="C2" s="27" t="s">
        <v>318</v>
      </c>
      <c r="D2" s="28">
        <v>3.0</v>
      </c>
      <c r="E2" s="29" t="b">
        <v>1</v>
      </c>
      <c r="F2" s="28">
        <f t="shared" ref="F2:F11" si="1">IF(E2,D2,0)</f>
        <v>3</v>
      </c>
    </row>
    <row r="3">
      <c r="A3" s="27" t="s">
        <v>31</v>
      </c>
      <c r="B3" s="27" t="s">
        <v>137</v>
      </c>
      <c r="C3" s="27" t="s">
        <v>319</v>
      </c>
      <c r="D3" s="28">
        <v>8.0</v>
      </c>
      <c r="E3" s="29" t="b">
        <v>0</v>
      </c>
      <c r="F3" s="28">
        <f t="shared" si="1"/>
        <v>0</v>
      </c>
    </row>
    <row r="4">
      <c r="A4" s="27" t="s">
        <v>31</v>
      </c>
      <c r="B4" s="27" t="s">
        <v>137</v>
      </c>
      <c r="C4" s="27" t="s">
        <v>320</v>
      </c>
      <c r="D4" s="28">
        <v>5.0</v>
      </c>
      <c r="E4" s="29" t="b">
        <v>0</v>
      </c>
      <c r="F4" s="28">
        <f t="shared" si="1"/>
        <v>0</v>
      </c>
    </row>
    <row r="5">
      <c r="A5" s="27" t="s">
        <v>31</v>
      </c>
      <c r="B5" s="27" t="s">
        <v>137</v>
      </c>
      <c r="C5" s="27" t="s">
        <v>321</v>
      </c>
      <c r="D5" s="28">
        <v>6.0</v>
      </c>
      <c r="E5" s="29" t="b">
        <v>0</v>
      </c>
      <c r="F5" s="28">
        <f t="shared" si="1"/>
        <v>0</v>
      </c>
    </row>
    <row r="6">
      <c r="A6" s="27" t="s">
        <v>31</v>
      </c>
      <c r="B6" s="27" t="s">
        <v>137</v>
      </c>
      <c r="C6" s="27" t="s">
        <v>322</v>
      </c>
      <c r="D6" s="28">
        <v>5.0</v>
      </c>
      <c r="E6" s="29" t="b">
        <v>0</v>
      </c>
      <c r="F6" s="28">
        <f t="shared" si="1"/>
        <v>0</v>
      </c>
    </row>
    <row r="7">
      <c r="A7" s="27" t="s">
        <v>31</v>
      </c>
      <c r="B7" s="27" t="s">
        <v>137</v>
      </c>
      <c r="C7" s="27" t="s">
        <v>323</v>
      </c>
      <c r="D7" s="28">
        <v>4.0</v>
      </c>
      <c r="E7" s="29" t="b">
        <v>1</v>
      </c>
      <c r="F7" s="28">
        <f t="shared" si="1"/>
        <v>4</v>
      </c>
    </row>
    <row r="8">
      <c r="A8" s="27" t="s">
        <v>31</v>
      </c>
      <c r="B8" s="27" t="s">
        <v>139</v>
      </c>
      <c r="C8" s="27" t="s">
        <v>324</v>
      </c>
      <c r="D8" s="28">
        <v>10.0</v>
      </c>
      <c r="E8" s="29" t="b">
        <v>1</v>
      </c>
      <c r="F8" s="28">
        <f t="shared" si="1"/>
        <v>10</v>
      </c>
    </row>
    <row r="9">
      <c r="A9" s="27" t="s">
        <v>31</v>
      </c>
      <c r="B9" s="27" t="s">
        <v>139</v>
      </c>
      <c r="C9" s="27" t="s">
        <v>325</v>
      </c>
      <c r="D9" s="28">
        <v>6.0</v>
      </c>
      <c r="E9" s="29" t="b">
        <v>1</v>
      </c>
      <c r="F9" s="28">
        <f t="shared" si="1"/>
        <v>6</v>
      </c>
    </row>
    <row r="10">
      <c r="A10" s="27" t="s">
        <v>31</v>
      </c>
      <c r="B10" s="27" t="s">
        <v>139</v>
      </c>
      <c r="C10" s="27" t="s">
        <v>326</v>
      </c>
      <c r="D10" s="28">
        <v>5.0</v>
      </c>
      <c r="E10" s="29" t="b">
        <v>1</v>
      </c>
      <c r="F10" s="28">
        <f t="shared" si="1"/>
        <v>5</v>
      </c>
    </row>
    <row r="11">
      <c r="A11" s="27" t="s">
        <v>31</v>
      </c>
      <c r="B11" s="27" t="s">
        <v>141</v>
      </c>
      <c r="C11" s="27" t="s">
        <v>327</v>
      </c>
      <c r="D11" s="28">
        <v>5.0</v>
      </c>
      <c r="E11" s="29" t="b">
        <v>1</v>
      </c>
      <c r="F11" s="28">
        <f t="shared" si="1"/>
        <v>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B7280"/>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0.13"/>
    <col customWidth="1" min="2" max="2" width="80.13"/>
    <col customWidth="1" min="3" max="3" width="7.63"/>
  </cols>
  <sheetData>
    <row r="1">
      <c r="A1" s="26" t="s">
        <v>145</v>
      </c>
      <c r="B1" s="26" t="s">
        <v>146</v>
      </c>
      <c r="C1" s="26" t="s">
        <v>147</v>
      </c>
    </row>
    <row r="2">
      <c r="A2" s="30" t="str">
        <f>IFERROR(__xludf.DUMMYFUNCTION("IFERROR(QUERY({Story!A2:F232;Bug!A2:F232;Task!A2:F232;'横断品質'!A2:F232},""select Col2, Col3, Col4 where Col5 = false and Col2 is not null"",0),""（未達成の項目はありません）"")"),"S-B-01 質問掲示板")</f>
        <v>S-B-01 質問掲示板</v>
      </c>
      <c r="B2" s="31" t="str">
        <f>IFERROR(__xludf.DUMMYFUNCTION("""COMPUTED_VALUE"""),"【受講生】
1. 投稿者本人は回答 0 件のスレッドのみ削除でき、成功時にフラッシュメッセージ「質問を削除しました。」が表示される
2. 回答有りのスレッドは削除できず、フラッシュエラー「回答が付いているスレッドは削除できません。」が表示される")</f>
        <v>【受講生】
1. 投稿者本人は回答 0 件のスレッドのみ削除でき、成功時にフラッシュメッセージ「質問を削除しました。」が表示される
2. 回答有りのスレッドは削除できず、フラッシュエラー「回答が付いているスレッドは削除できません。」が表示される</v>
      </c>
      <c r="C2" s="31">
        <f>IFERROR(__xludf.DUMMYFUNCTION("""COMPUTED_VALUE"""),1.0)</f>
        <v>1</v>
      </c>
    </row>
    <row r="3">
      <c r="A3" s="31" t="str">
        <f>IFERROR(__xludf.DUMMYFUNCTION("""COMPUTED_VALUE"""),"S-B-01 質問掲示板")</f>
        <v>S-B-01 質問掲示板</v>
      </c>
      <c r="B3" s="31" t="str">
        <f>IFERROR(__xludf.DUMMYFUNCTION("""COMPUTED_VALUE"""),"【受講生・コーチ】
1. 受講生は公開済資格すべて、コーチは担当資格のみのスレッドを一覧で見られる
2. 資格別 / 解決状態 / キーワード(タイトル / 本文 / 回答本文の OR 部分一致)で絞り込みできる
3. 質問スレッド作成(回答順ではない)の新着順 20 件 / ページのページネーションが実装されている")</f>
        <v>【受講生・コーチ】
1. 受講生は公開済資格すべて、コーチは担当資格のみのスレッドを一覧で見られる
2. 資格別 / 解決状態 / キーワード(タイトル / 本文 / 回答本文の OR 部分一致)で絞り込みできる
3. 質問スレッド作成(回答順ではない)の新着順 20 件 / ページのページネーションが実装されている</v>
      </c>
      <c r="C3" s="31">
        <f>IFERROR(__xludf.DUMMYFUNCTION("""COMPUTED_VALUE"""),2.0)</f>
        <v>2</v>
      </c>
    </row>
    <row r="4">
      <c r="A4" s="31" t="str">
        <f>IFERROR(__xludf.DUMMYFUNCTION("""COMPUTED_VALUE"""),"S-B-01 質問掲示板")</f>
        <v>S-B-01 質問掲示板</v>
      </c>
      <c r="B4" s="31" t="str">
        <f>IFERROR(__xludf.DUMMYFUNCTION("""COMPUTED_VALUE"""),"【管理者】
1. /admin/qa-board 経由で全資格(公開停止資格含む)のスレッドを横断閲覧できる
2. 任意のスレッド / 回答を無条件で削除できる(スレッド削除時に配下回答も連動削除、フラッシュ「質問を削除しました。」)
3. 管理者の画面にはスレッド投稿 / 編集 / 解決マークの操作ボタンは表示されない(モデレーションは削除のみ)")</f>
        <v>【管理者】
1. /admin/qa-board 経由で全資格(公開停止資格含む)のスレッドを横断閲覧できる
2. 任意のスレッド / 回答を無条件で削除できる(スレッド削除時に配下回答も連動削除、フラッシュ「質問を削除しました。」)
3. 管理者の画面にはスレッド投稿 / 編集 / 解決マークの操作ボタンは表示されない(モデレーションは削除のみ)</v>
      </c>
      <c r="C4" s="31">
        <f>IFERROR(__xludf.DUMMYFUNCTION("""COMPUTED_VALUE"""),1.0)</f>
        <v>1</v>
      </c>
    </row>
    <row r="5">
      <c r="A5" s="31" t="str">
        <f>IFERROR(__xludf.DUMMYFUNCTION("""COMPUTED_VALUE"""),"S-B-01 質問掲示板")</f>
        <v>S-B-01 質問掲示板</v>
      </c>
      <c r="B5" s="31" t="str">
        <f>IFERROR(__xludf.DUMMYFUNCTION("""COMPUTED_VALUE"""),"【コーチ・受講生】
1. コーチは担当外資格のスレッドを直接 URL 指定 or 一覧クエリで指定しても閲覧できない(資格存在は隠蔽しない)
2. 受講生・コーチは公開停止資格のスレッドを閲覧できない(資格自体が見えない扱い、管理者は引き続き閲覧可)")</f>
        <v>【コーチ・受講生】
1. コーチは担当外資格のスレッドを直接 URL 指定 or 一覧クエリで指定しても閲覧できない(資格存在は隠蔽しない)
2. 受講生・コーチは公開停止資格のスレッドを閲覧できない(資格自体が見えない扱い、管理者は引き続き閲覧可)</v>
      </c>
      <c r="C5" s="31">
        <f>IFERROR(__xludf.DUMMYFUNCTION("""COMPUTED_VALUE"""),2.0)</f>
        <v>2</v>
      </c>
    </row>
    <row r="6">
      <c r="A6" s="31" t="str">
        <f>IFERROR(__xludf.DUMMYFUNCTION("""COMPUTED_VALUE"""),"S-B-01 質問掲示板")</f>
        <v>S-B-01 質問掲示板</v>
      </c>
      <c r="B6" s="31" t="str">
        <f>IFERROR(__xludf.DUMMYFUNCTION("""COMPUTED_VALUE"""),"【受講生・コーチ】
1. スレッド投稿 / 編集 / 回答投稿 / 回答編集フォームで違反時に日本語エラーが表示される
a. 資格 = 必須(公開済資格のみ)
b. タイトル = 必須・200 文字以内・全角通常空白のみ不可
c. 本文〈スレッド / 回答〉 = 必須・5000 文字以内・全角通常空白のみ不可
(メッセージ例: 「資格を選択してください。」「タイトルを入力してください。」「タイトルは 200 文字以内で入力してください。」「本文を入力してください。」「本文は 5000 文字以内で入力してく"&amp;"ださい。」)
※文字数上限は blade の maxlength で入力段階から担保(超過入力不可のため超過時のエラー表示の確認は不要)")</f>
        <v>【受講生・コーチ】
1. スレッド投稿 / 編集 / 回答投稿 / 回答編集フォームで違反時に日本語エラーが表示される
a. 資格 = 必須(公開済資格のみ)
b. タイトル = 必須・200 文字以内・全角通常空白のみ不可
c. 本文〈スレッド / 回答〉 = 必須・5000 文字以内・全角通常空白のみ不可
(メッセージ例: 「資格を選択してください。」「タイトルを入力してください。」「タイトルは 200 文字以内で入力してください。」「本文を入力してください。」「本文は 5000 文字以内で入力してください。」)
※文字数上限は blade の maxlength で入力段階から担保(超過入力不可のため超過時のエラー表示の確認は不要)</v>
      </c>
      <c r="C6" s="31">
        <f>IFERROR(__xludf.DUMMYFUNCTION("""COMPUTED_VALUE"""),1.0)</f>
        <v>1</v>
      </c>
    </row>
    <row r="7">
      <c r="A7" s="31" t="str">
        <f>IFERROR(__xludf.DUMMYFUNCTION("""COMPUTED_VALUE"""),"S-B-02 面談パックのマスタ管理")</f>
        <v>S-B-02 面談パックのマスタ管理</v>
      </c>
      <c r="B7" s="31" t="str">
        <f>IFERROR(__xludf.DUMMYFUNCTION("""COMPUTED_VALUE"""),"【管理者】
1. 面談パック管理画面で一覧を閲覧できる
2. パック名キーワード(部分一致)+ ステータス(下書き / 公開中 / アーカイブ)フィルタで絞り込める
3. 公開中を優先する並び順で表示される")</f>
        <v>【管理者】
1. 面談パック管理画面で一覧を閲覧できる
2. パック名キーワード(部分一致)+ ステータス(下書き / 公開中 / アーカイブ)フィルタで絞り込める
3. 公開中を優先する並び順で表示される</v>
      </c>
      <c r="C7" s="31">
        <f>IFERROR(__xludf.DUMMYFUNCTION("""COMPUTED_VALUE"""),1.0)</f>
        <v>1</v>
      </c>
    </row>
    <row r="8">
      <c r="A8" s="31" t="str">
        <f>IFERROR(__xludf.DUMMYFUNCTION("""COMPUTED_VALUE"""),"S-B-02 面談パックのマスタ管理")</f>
        <v>S-B-02 面談パックのマスタ管理</v>
      </c>
      <c r="B8" s="31" t="str">
        <f>IFERROR(__xludf.DUMMYFUNCTION("""COMPUTED_VALUE"""),"【管理者】
1. 新規作成すると下書き状態で作成される
2. 作成された面談パックの詳細画面へリダイレクトし、フラッシュメッセージ「面談パックを作成しました。」が表示される")</f>
        <v>【管理者】
1. 新規作成すると下書き状態で作成される
2. 作成された面談パックの詳細画面へリダイレクトし、フラッシュメッセージ「面談パックを作成しました。」が表示される</v>
      </c>
      <c r="C8" s="31">
        <f>IFERROR(__xludf.DUMMYFUNCTION("""COMPUTED_VALUE"""),1.0)</f>
        <v>1</v>
      </c>
    </row>
    <row r="9">
      <c r="A9" s="31" t="str">
        <f>IFERROR(__xludf.DUMMYFUNCTION("""COMPUTED_VALUE"""),"S-B-02 面談パックのマスタ管理")</f>
        <v>S-B-02 面談パックのマスタ管理</v>
      </c>
      <c r="B9" s="31" t="str">
        <f>IFERROR(__xludf.DUMMYFUNCTION("""COMPUTED_VALUE"""),"【管理者】
1. 公開(下書き → 公開中)/ アーカイブ(公開中 → アーカイブ)/ 下書きへ戻す(アーカイブ → 下書き)の 3 操作がそれぞれ遷移元の状態でのみ実行できる
2. 成功時に詳細画面へリダイレクトし、フラッシュ表示(下書き→公開「面談パックを公開しました。」/ 公開中→アーカイブ「面談パックをアーカイブしました。」/ アーカイブ→下書き「面談パックを下書きへ戻しました。」)")</f>
        <v>【管理者】
1. 公開(下書き → 公開中)/ アーカイブ(公開中 → アーカイブ)/ 下書きへ戻す(アーカイブ → 下書き)の 3 操作がそれぞれ遷移元の状態でのみ実行できる
2. 成功時に詳細画面へリダイレクトし、フラッシュ表示(下書き→公開「面談パックを公開しました。」/ 公開中→アーカイブ「面談パックをアーカイブしました。」/ アーカイブ→下書き「面談パックを下書きへ戻しました。」)</v>
      </c>
      <c r="C9" s="31">
        <f>IFERROR(__xludf.DUMMYFUNCTION("""COMPUTED_VALUE"""),1.0)</f>
        <v>1</v>
      </c>
    </row>
    <row r="10">
      <c r="A10" s="31" t="str">
        <f>IFERROR(__xludf.DUMMYFUNCTION("""COMPUTED_VALUE"""),"S-B-02 面談パックのマスタ管理")</f>
        <v>S-B-02 面談パックのマスタ管理</v>
      </c>
      <c r="B10" s="31" t="str">
        <f>IFERROR(__xludf.DUMMYFUNCTION("""COMPUTED_VALUE"""),"【管理者】
1. 違反時に日本語エラーが表示される
a. パック名 = 必須・100 文字以内
b. 説明 = 任意・2000 文字以内
c. 面談回数 = 必須・1〜100 の整数
d. 価格 = 必須・0〜1,000,000 円の整数
e. Stripe 価格 ID = 任意・255 文字以内
f. 並び順 = 任意・0 以上の整数
(メッセージ例: 「SKU 名 を入力してください。」「面談回数 は 1 以上の値を指定してください。」「価格(円) は 1000000 以下の値を指定してください。」)")</f>
        <v>【管理者】
1. 違反時に日本語エラーが表示される
a. パック名 = 必須・100 文字以内
b. 説明 = 任意・2000 文字以内
c. 面談回数 = 必須・1〜100 の整数
d. 価格 = 必須・0〜1,000,000 円の整数
e. Stripe 価格 ID = 任意・255 文字以内
f. 並び順 = 任意・0 以上の整数
(メッセージ例: 「SKU 名 を入力してください。」「面談回数 は 1 以上の値を指定してください。」「価格(円) は 1000000 以下の値を指定してください。」)</v>
      </c>
      <c r="C10" s="31">
        <f>IFERROR(__xludf.DUMMYFUNCTION("""COMPUTED_VALUE"""),1.0)</f>
        <v>1</v>
      </c>
    </row>
    <row r="11">
      <c r="A11" s="31" t="str">
        <f>IFERROR(__xludf.DUMMYFUNCTION("""COMPUTED_VALUE"""),"S-B-03 プランのマスタ管理")</f>
        <v>S-B-03 プランのマスタ管理</v>
      </c>
      <c r="B11" s="31" t="str">
        <f>IFERROR(__xludf.DUMMYFUNCTION("""COMPUTED_VALUE"""),"【管理者】
1. プラン管理の一覧を開くと、プラン名キーワード(部分一致)とステータス(下書き / 公開中 / アーカイブ)で絞り込みできる
2. 各行に契約中の受講者数が表示される
3. 公開中を優先する並び順で表示される")</f>
        <v>【管理者】
1. プラン管理の一覧を開くと、プラン名キーワード(部分一致)とステータス(下書き / 公開中 / アーカイブ)で絞り込みできる
2. 各行に契約中の受講者数が表示される
3. 公開中を優先する並び順で表示される</v>
      </c>
      <c r="C11" s="31">
        <f>IFERROR(__xludf.DUMMYFUNCTION("""COMPUTED_VALUE"""),1.0)</f>
        <v>1</v>
      </c>
    </row>
    <row r="12">
      <c r="A12" s="31" t="str">
        <f>IFERROR(__xludf.DUMMYFUNCTION("""COMPUTED_VALUE"""),"S-B-03 プランのマスタ管理")</f>
        <v>S-B-03 プランのマスタ管理</v>
      </c>
      <c r="B12" s="31" t="str">
        <f>IFERROR(__xludf.DUMMYFUNCTION("""COMPUTED_VALUE"""),"【管理者】
1. 新規作成すると下書き状態でプランが作成される
2. 作成したプランの詳細画面へリダイレクトし、フラッシュメッセージ「プランを作成しました。」が表示される")</f>
        <v>【管理者】
1. 新規作成すると下書き状態でプランが作成される
2. 作成したプランの詳細画面へリダイレクトし、フラッシュメッセージ「プランを作成しました。」が表示される</v>
      </c>
      <c r="C12" s="31">
        <f>IFERROR(__xludf.DUMMYFUNCTION("""COMPUTED_VALUE"""),1.0)</f>
        <v>1</v>
      </c>
    </row>
    <row r="13">
      <c r="A13" s="31" t="str">
        <f>IFERROR(__xludf.DUMMYFUNCTION("""COMPUTED_VALUE"""),"S-B-03 プランのマスタ管理")</f>
        <v>S-B-03 プランのマスタ管理</v>
      </c>
      <c r="B13" s="31" t="str">
        <f>IFERROR(__xludf.DUMMYFUNCTION("""COMPUTED_VALUE"""),"【管理者】
1. 公開中 / アーカイブ状態のプラン、または下書きでも受講者が 1 名以上紐づくプランは削除できず、元画面に戻ってフラッシュエラーが表示される(公開中 / アーカイブ「下書き状態のプランのみ削除できます。先に下書きに戻すか、アーカイブを利用してください。」/ 受講者紐付き「このプランは受講者が紐づいているため削除できません。」)")</f>
        <v>【管理者】
1. 公開中 / アーカイブ状態のプラン、または下書きでも受講者が 1 名以上紐づくプランは削除できず、元画面に戻ってフラッシュエラーが表示される(公開中 / アーカイブ「下書き状態のプランのみ削除できます。先に下書きに戻すか、アーカイブを利用してください。」/ 受講者紐付き「このプランは受講者が紐づいているため削除できません。」)</v>
      </c>
      <c r="C13" s="31">
        <f>IFERROR(__xludf.DUMMYFUNCTION("""COMPUTED_VALUE"""),1.0)</f>
        <v>1</v>
      </c>
    </row>
    <row r="14">
      <c r="A14" s="31" t="str">
        <f>IFERROR(__xludf.DUMMYFUNCTION("""COMPUTED_VALUE"""),"S-B-03 プランのマスタ管理")</f>
        <v>S-B-03 プランのマスタ管理</v>
      </c>
      <c r="B14" s="31" t="str">
        <f>IFERROR(__xludf.DUMMYFUNCTION("""COMPUTED_VALUE"""),"【管理者】
1. 公開(下書き → 公開中)/ アーカイブ(公開中 → アーカイブ)/ 下書きへ戻す(アーカイブ → 下書き)を正しい遷移元状態から実行すると状態が遷移する
2. 詳細画面へリダイレクトし、フラッシュ表示(下書き→公開「プランを公開しました。」/ 公開中→アーカイブ「プランをアーカイブしました。」/ アーカイブ→下書き「プランを下書きへ戻しました。」)")</f>
        <v>【管理者】
1. 公開(下書き → 公開中)/ アーカイブ(公開中 → アーカイブ)/ 下書きへ戻す(アーカイブ → 下書き)を正しい遷移元状態から実行すると状態が遷移する
2. 詳細画面へリダイレクトし、フラッシュ表示(下書き→公開「プランを公開しました。」/ 公開中→アーカイブ「プランをアーカイブしました。」/ アーカイブ→下書き「プランを下書きへ戻しました。」)</v>
      </c>
      <c r="C14" s="31">
        <f>IFERROR(__xludf.DUMMYFUNCTION("""COMPUTED_VALUE"""),1.0)</f>
        <v>1</v>
      </c>
    </row>
    <row r="15">
      <c r="A15" s="31" t="str">
        <f>IFERROR(__xludf.DUMMYFUNCTION("""COMPUTED_VALUE"""),"S-B-03 プランのマスタ管理")</f>
        <v>S-B-03 プランのマスタ管理</v>
      </c>
      <c r="B15" s="31" t="str">
        <f>IFERROR(__xludf.DUMMYFUNCTION("""COMPUTED_VALUE"""),"【管理者】
1. 違反時に日本語エラーが表示される
a. プラン名 = 必須・100 文字以内
b. 説明 = 任意・2000 文字以内
c. 受講期間〈日〉 = 必須・1〜3650 の整数
d. 初期付与面談回数 = 必須・0〜1000 の整数
e. 並び順 = 任意・0 以上の整数
(メッセージ例: 「プラン名 を入力してください。」「受講期間(日) は 3650 以下の値を指定してください。」)")</f>
        <v>【管理者】
1. 違反時に日本語エラーが表示される
a. プラン名 = 必須・100 文字以内
b. 説明 = 任意・2000 文字以内
c. 受講期間〈日〉 = 必須・1〜3650 の整数
d. 初期付与面談回数 = 必須・0〜1000 の整数
e. 並び順 = 任意・0 以上の整数
(メッセージ例: 「プラン名 を入力してください。」「受講期間(日) は 3650 以下の値を指定してください。」)</v>
      </c>
      <c r="C15" s="31">
        <f>IFERROR(__xludf.DUMMYFUNCTION("""COMPUTED_VALUE"""),1.0)</f>
        <v>1</v>
      </c>
    </row>
    <row r="16">
      <c r="A16" s="31" t="str">
        <f>IFERROR(__xludf.DUMMYFUNCTION("""COMPUTED_VALUE"""),"S-B-04 通知基盤（アプリ内＋メール）")</f>
        <v>S-B-04 通知基盤（アプリ内＋メール）</v>
      </c>
      <c r="B16" s="31" t="str">
        <f>IFERROR(__xludf.DUMMYFUNCTION("""COMPUTED_VALUE"""),"【受講生・コーチ】
1. 通知行クリックで未読通知が既読化される
2. 通知種別に応じた業務画面(chat ルーム / Q&amp;A スレッド / 面談一覧)へリダイレクトされる")</f>
        <v>【受講生・コーチ】
1. 通知行クリックで未読通知が既読化される
2. 通知種別に応じた業務画面(chat ルーム / Q&amp;A スレッド / 面談一覧)へリダイレクトされる</v>
      </c>
      <c r="C16" s="31">
        <f>IFERROR(__xludf.DUMMYFUNCTION("""COMPUTED_VALUE"""),1.0)</f>
        <v>1</v>
      </c>
    </row>
    <row r="17">
      <c r="A17" s="31" t="str">
        <f>IFERROR(__xludf.DUMMYFUNCTION("""COMPUTED_VALUE"""),"S-B-04 通知基盤（アプリ内＋メール）")</f>
        <v>S-B-04 通知基盤（アプリ内＋メール）</v>
      </c>
      <c r="B17" s="31" t="str">
        <f>IFERROR(__xludf.DUMMYFUNCTION("""COMPUTED_VALUE"""),"【受講生・コーチ】
1. chat ルームで新規メッセージが投稿された際に、送信者を除くルームメンバーの通知一覧に通知が表示され、対象者にメールも届く(送信者本人には表示・送信されない)")</f>
        <v>【受講生・コーチ】
1. chat ルームで新規メッセージが投稿された際に、送信者を除くルームメンバーの通知一覧に通知が表示され、対象者にメールも届く(送信者本人には表示・送信されない)</v>
      </c>
      <c r="C17" s="31">
        <f>IFERROR(__xludf.DUMMYFUNCTION("""COMPUTED_VALUE"""),1.0)</f>
        <v>1</v>
      </c>
    </row>
    <row r="18">
      <c r="A18" s="31" t="str">
        <f>IFERROR(__xludf.DUMMYFUNCTION("""COMPUTED_VALUE"""),"S-B-04 通知基盤（アプリ内＋メール）")</f>
        <v>S-B-04 通知基盤（アプリ内＋メール）</v>
      </c>
      <c r="B18" s="31" t="str">
        <f>IFERROR(__xludf.DUMMYFUNCTION("""COMPUTED_VALUE"""),"【受講生・コーチ】
1. Q&amp;A スレッドに新規回答が投稿された際にスレッド投稿者の通知一覧に通知が表示され、メールも届く(回答者 = スレッド投稿者の自己回答時は表示・送信されない)")</f>
        <v>【受講生・コーチ】
1. Q&amp;A スレッドに新規回答が投稿された際にスレッド投稿者の通知一覧に通知が表示され、メールも届く(回答者 = スレッド投稿者の自己回答時は表示・送信されない)</v>
      </c>
      <c r="C18" s="31">
        <f>IFERROR(__xludf.DUMMYFUNCTION("""COMPUTED_VALUE"""),1.0)</f>
        <v>1</v>
      </c>
    </row>
    <row r="19">
      <c r="A19" s="31" t="str">
        <f>IFERROR(__xludf.DUMMYFUNCTION("""COMPUTED_VALUE"""),"S-B-04 通知基盤（アプリ内＋メール）")</f>
        <v>S-B-04 通知基盤（アプリ内＋メール）</v>
      </c>
      <c r="B19" s="31" t="str">
        <f>IFERROR(__xludf.DUMMYFUNCTION("""COMPUTED_VALUE"""),"【受講生・コーチ】
1. 受講生が面談を予約した際に担当コーチの通知一覧に通知が表示され、メールも届き、受講生本人には表示・送信されない")</f>
        <v>【受講生・コーチ】
1. 受講生が面談を予約した際に担当コーチの通知一覧に通知が表示され、メールも届き、受講生本人には表示・送信されない</v>
      </c>
      <c r="C19" s="31">
        <f>IFERROR(__xludf.DUMMYFUNCTION("""COMPUTED_VALUE"""),1.0)</f>
        <v>1</v>
      </c>
    </row>
    <row r="20">
      <c r="A20" s="31" t="str">
        <f>IFERROR(__xludf.DUMMYFUNCTION("""COMPUTED_VALUE"""),"S-B-04 通知基盤（アプリ内＋メール）")</f>
        <v>S-B-04 通知基盤（アプリ内＋メール）</v>
      </c>
      <c r="B20" s="31" t="str">
        <f>IFERROR(__xludf.DUMMYFUNCTION("""COMPUTED_VALUE"""),"【受講生・コーチ】
1. 当事者(受講生 or 担当コーチ)が予約済面談をキャンセルした際に相手方の通知一覧に通知が表示され、メールも届き、自身には表示・送信されない")</f>
        <v>【受講生・コーチ】
1. 当事者(受講生 or 担当コーチ)が予約済面談をキャンセルした際に相手方の通知一覧に通知が表示され、メールも届き、自身には表示・送信されない</v>
      </c>
      <c r="C20" s="31">
        <f>IFERROR(__xludf.DUMMYFUNCTION("""COMPUTED_VALUE"""),1.0)</f>
        <v>1</v>
      </c>
    </row>
    <row r="21">
      <c r="A21" s="31" t="str">
        <f>IFERROR(__xludf.DUMMYFUNCTION("""COMPUTED_VALUE"""),"S-B-04 通知基盤（アプリ内＋メール）")</f>
        <v>S-B-04 通知基盤（アプリ内＋メール）</v>
      </c>
      <c r="B21" s="31" t="str">
        <f>IFERROR(__xludf.DUMMYFUNCTION("""COMPUTED_VALUE"""),"【管理者】
1. 管理者は本 4 種いずれの通知も受信しない(通知一覧に表示されない)")</f>
        <v>【管理者】
1. 管理者は本 4 種いずれの通知も受信しない(通知一覧に表示されない)</v>
      </c>
      <c r="C21" s="31">
        <f>IFERROR(__xludf.DUMMYFUNCTION("""COMPUTED_VALUE"""),1.0)</f>
        <v>1</v>
      </c>
    </row>
    <row r="22">
      <c r="A22" s="31" t="str">
        <f>IFERROR(__xludf.DUMMYFUNCTION("""COMPUTED_VALUE"""),"S-B-05 個人学習目標の管理")</f>
        <v>S-B-05 個人学習目標の管理</v>
      </c>
      <c r="B22" s="31" t="str">
        <f>IFERROR(__xludf.DUMMYFUNCTION("""COMPUTED_VALUE"""),"【受講生】
1. 自分の受講登録詳細画面で目標追加フォームを送信すると、その受講登録詳細画面へリダイレクトする
2. 未達成状態(達成日時なし)で目標が作成され、フラッシュメッセージ「目標を追加しました。」が表示される")</f>
        <v>【受講生】
1. 自分の受講登録詳細画面で目標追加フォームを送信すると、その受講登録詳細画面へリダイレクトする
2. 未達成状態(達成日時なし)で目標が作成され、フラッシュメッセージ「目標を追加しました。」が表示される</v>
      </c>
      <c r="C22" s="31">
        <f>IFERROR(__xludf.DUMMYFUNCTION("""COMPUTED_VALUE"""),1.0)</f>
        <v>1</v>
      </c>
    </row>
    <row r="23">
      <c r="A23" s="31" t="str">
        <f>IFERROR(__xludf.DUMMYFUNCTION("""COMPUTED_VALUE"""),"S-B-05 個人学習目標の管理")</f>
        <v>S-B-05 個人学習目標の管理</v>
      </c>
      <c r="B23" s="31" t="str">
        <f>IFERROR(__xludf.DUMMYFUNCTION("""COMPUTED_VALUE"""),"【受講生】
1. 本人が目標編集リンクから「目標を編集」ページに遷移して目標 / 目標期日 / 詳細 を更新できる
2. 編集では達成 / 未達成の状態は変わらない
3. 成功時に受講登録詳細画面へリダイレクトし、フラッシュメッセージ「目標を更新しました。」が表示される")</f>
        <v>【受講生】
1. 本人が目標編集リンクから「目標を編集」ページに遷移して目標 / 目標期日 / 詳細 を更新できる
2. 編集では達成 / 未達成の状態は変わらない
3. 成功時に受講登録詳細画面へリダイレクトし、フラッシュメッセージ「目標を更新しました。」が表示される</v>
      </c>
      <c r="C23" s="31">
        <f>IFERROR(__xludf.DUMMYFUNCTION("""COMPUTED_VALUE"""),1.0)</f>
        <v>1</v>
      </c>
    </row>
    <row r="24">
      <c r="A24" s="31" t="str">
        <f>IFERROR(__xludf.DUMMYFUNCTION("""COMPUTED_VALUE"""),"S-B-05 個人学習目標の管理")</f>
        <v>S-B-05 個人学習目標の管理</v>
      </c>
      <c r="B24" s="31" t="str">
        <f>IFERROR(__xludf.DUMMYFUNCTION("""COMPUTED_VALUE"""),"【受講生】
1. 本人が目標を削除すると受講登録詳細画面へリダイレクトし、フラッシュメッセージ「目標を削除しました。」が表示される")</f>
        <v>【受講生】
1. 本人が目標を削除すると受講登録詳細画面へリダイレクトし、フラッシュメッセージ「目標を削除しました。」が表示される</v>
      </c>
      <c r="C24" s="31">
        <f>IFERROR(__xludf.DUMMYFUNCTION("""COMPUTED_VALUE"""),1.0)</f>
        <v>1</v>
      </c>
    </row>
    <row r="25">
      <c r="A25" s="31" t="str">
        <f>IFERROR(__xludf.DUMMYFUNCTION("""COMPUTED_VALUE"""),"S-B-05 個人学習目標の管理")</f>
        <v>S-B-05 個人学習目標の管理</v>
      </c>
      <c r="B25" s="31" t="str">
        <f>IFERROR(__xludf.DUMMYFUNCTION("""COMPUTED_VALUE"""),"【受講生】
1. 本人が達成マーク / 達成解除で目標の達成状態をトグルでき、一覧の達成済 / 未達成の表示が切り替わる
2. いずれも成功時に受講登録詳細画面へリダイレクトし、フラッシュ表示(「目標を達成済にしました。」「目標を未達成に戻しました。」)")</f>
        <v>【受講生】
1. 本人が達成マーク / 達成解除で目標の達成状態をトグルでき、一覧の達成済 / 未達成の表示が切り替わる
2. いずれも成功時に受講登録詳細画面へリダイレクトし、フラッシュ表示(「目標を達成済にしました。」「目標を未達成に戻しました。」)</v>
      </c>
      <c r="C25" s="31">
        <f>IFERROR(__xludf.DUMMYFUNCTION("""COMPUTED_VALUE"""),1.0)</f>
        <v>1</v>
      </c>
    </row>
    <row r="26">
      <c r="A26" s="31" t="str">
        <f>IFERROR(__xludf.DUMMYFUNCTION("""COMPUTED_VALUE"""),"S-B-05 個人学習目標の管理")</f>
        <v>S-B-05 個人学習目標の管理</v>
      </c>
      <c r="B26" s="31" t="str">
        <f>IFERROR(__xludf.DUMMYFUNCTION("""COMPUTED_VALUE"""),"【受講生・コーチ・管理者】
1. 受講生本人の受講登録詳細画面で自分の目標が未達成優先(達成済は末尾) → 目標期日が近い順 で一覧表示される
2. 未達成 / 達成済 の視覚的区別が付く
3. コーチ / 管理者の閲覧時は一覧は見えるが CRUD / 達成マーク操作ボタンは表示されない")</f>
        <v>【受講生・コーチ・管理者】
1. 受講生本人の受講登録詳細画面で自分の目標が未達成優先(達成済は末尾) → 目標期日が近い順 で一覧表示される
2. 未達成 / 達成済 の視覚的区別が付く
3. コーチ / 管理者の閲覧時は一覧は見えるが CRUD / 達成マーク操作ボタンは表示されない</v>
      </c>
      <c r="C26" s="31">
        <f>IFERROR(__xludf.DUMMYFUNCTION("""COMPUTED_VALUE"""),1.0)</f>
        <v>1</v>
      </c>
    </row>
    <row r="27">
      <c r="A27" s="31" t="str">
        <f>IFERROR(__xludf.DUMMYFUNCTION("""COMPUTED_VALUE"""),"S-B-05 個人学習目標の管理")</f>
        <v>S-B-05 個人学習目標の管理</v>
      </c>
      <c r="B27" s="31" t="str">
        <f>IFERROR(__xludf.DUMMYFUNCTION("""COMPUTED_VALUE"""),"【受講生・コーチ・管理者】
1. 他受講生は他人の受講登録詳細画面にアクセスできず目標一覧にも到達できない
2. コーチ / 管理者は目標の編集専用ページにアクセスできない(操作ボタンの非表示と合わせ、本人以外に目標を操作する経路がない)")</f>
        <v>【受講生・コーチ・管理者】
1. 他受講生は他人の受講登録詳細画面にアクセスできず目標一覧にも到達できない
2. コーチ / 管理者は目標の編集専用ページにアクセスできない(操作ボタンの非表示と合わせ、本人以外に目標を操作する経路がない)</v>
      </c>
      <c r="C27" s="31">
        <f>IFERROR(__xludf.DUMMYFUNCTION("""COMPUTED_VALUE"""),1.0)</f>
        <v>1</v>
      </c>
    </row>
    <row r="28">
      <c r="A28" s="31" t="str">
        <f>IFERROR(__xludf.DUMMYFUNCTION("""COMPUTED_VALUE"""),"S-B-05 個人学習目標の管理")</f>
        <v>S-B-05 個人学習目標の管理</v>
      </c>
      <c r="B28" s="31" t="str">
        <f>IFERROR(__xludf.DUMMYFUNCTION("""COMPUTED_VALUE"""),"【受講生】
1. 違反時に日本語エラーが表示される
a. タイトル = 必須・100 文字以内
b. 詳細 = 任意・1000 文字以内
c. 目標期日 = 任意・日付形式
(メッセージ例: 「目標 を入力してください。」「目標 は 100 文字以内で入力してください。」「目標期日 は有効な日付ではありません。」)")</f>
        <v>【受講生】
1. 違反時に日本語エラーが表示される
a. タイトル = 必須・100 文字以内
b. 詳細 = 任意・1000 文字以内
c. 目標期日 = 任意・日付形式
(メッセージ例: 「目標 を入力してください。」「目標 は 100 文字以内で入力してください。」「目標期日 は有効な日付ではありません。」)</v>
      </c>
      <c r="C28" s="31">
        <f>IFERROR(__xludf.DUMMYFUNCTION("""COMPUTED_VALUE"""),1.0)</f>
        <v>1</v>
      </c>
    </row>
    <row r="29">
      <c r="A29" s="31" t="str">
        <f>IFERROR(__xludf.DUMMYFUNCTION("""COMPUTED_VALUE"""),"S-B-06 設定・プロフィール")</f>
        <v>S-B-06 設定・プロフィール</v>
      </c>
      <c r="B29" s="31" t="str">
        <f>IFERROR(__xludf.DUMMYFUNCTION("""COMPUTED_VALUE"""),"【受講生・コーチ・管理者】
1. 氏名・自己紹介を更新成功すると、プロフィールタブへリダイレクトし成功メッセージ「プロフィールを更新しました。」が表示される
2. メール欄は読み取り専用で表示され画面から編集できない")</f>
        <v>【受講生・コーチ・管理者】
1. 氏名・自己紹介を更新成功すると、プロフィールタブへリダイレクトし成功メッセージ「プロフィールを更新しました。」が表示される
2. メール欄は読み取り専用で表示され画面から編集できない</v>
      </c>
      <c r="C29" s="31">
        <f>IFERROR(__xludf.DUMMYFUNCTION("""COMPUTED_VALUE"""),1.0)</f>
        <v>1</v>
      </c>
    </row>
    <row r="30">
      <c r="A30" s="31" t="str">
        <f>IFERROR(__xludf.DUMMYFUNCTION("""COMPUTED_VALUE"""),"S-B-06 設定・プロフィール")</f>
        <v>S-B-06 設定・プロフィール</v>
      </c>
      <c r="B30" s="31" t="str">
        <f>IFERROR(__xludf.DUMMYFUNCTION("""COMPUTED_VALUE"""),"【コーチ・受講生・管理者】
1. コーチが編集フォームを開くと固定面談 URL 入力欄が表示され更新できる(空入力で値がクリアされる)
2. 受講生 / 管理者のプロフィール編集には固定面談 URL 入力欄が表示されない")</f>
        <v>【コーチ・受講生・管理者】
1. コーチが編集フォームを開くと固定面談 URL 入力欄が表示され更新できる(空入力で値がクリアされる)
2. 受講生 / 管理者のプロフィール編集には固定面談 URL 入力欄が表示されない</v>
      </c>
      <c r="C30" s="31">
        <f>IFERROR(__xludf.DUMMYFUNCTION("""COMPUTED_VALUE"""),1.0)</f>
        <v>1</v>
      </c>
    </row>
    <row r="31">
      <c r="A31" s="31" t="str">
        <f>IFERROR(__xludf.DUMMYFUNCTION("""COMPUTED_VALUE"""),"S-B-06 設定・プロフィール")</f>
        <v>S-B-06 設定・プロフィール</v>
      </c>
      <c r="B31" s="31" t="str">
        <f>IFERROR(__xludf.DUMMYFUNCTION("""COMPUTED_VALUE"""),"【受講生・コーチ・管理者】
1. 違反時に該当タブで日本語エラーが表示され入力値も復元される
a. 氏名 = 必須・50 文字以内
b. 自己紹介 = 任意・1000 文字以内
c. 固定面談 URL〈コーチのみ〉 = URL 形式・500 文字以内
(メッセージ例: 「氏名 を入力してください。」「氏名 は 50 文字以内で入力してください。」「固定面談 URL の形式が正しくありません。」)")</f>
        <v>【受講生・コーチ・管理者】
1. 違反時に該当タブで日本語エラーが表示され入力値も復元される
a. 氏名 = 必須・50 文字以内
b. 自己紹介 = 任意・1000 文字以内
c. 固定面談 URL〈コーチのみ〉 = URL 形式・500 文字以内
(メッセージ例: 「氏名 を入力してください。」「氏名 は 50 文字以内で入力してください。」「固定面談 URL の形式が正しくありません。」)</v>
      </c>
      <c r="C31" s="31">
        <f>IFERROR(__xludf.DUMMYFUNCTION("""COMPUTED_VALUE"""),1.0)</f>
        <v>1</v>
      </c>
    </row>
    <row r="32">
      <c r="A32" s="31" t="str">
        <f>IFERROR(__xludf.DUMMYFUNCTION("""COMPUTED_VALUE"""),"S-B-07 受講生メモの管理（コーチ）")</f>
        <v>S-B-07 受講生メモの管理（コーチ）</v>
      </c>
      <c r="B32" s="31" t="str">
        <f>IFERROR(__xludf.DUMMYFUNCTION("""COMPUTED_VALUE"""),"【コーチ・管理者】
1. 担当資格に登録した受講生の受講登録に対してコーチ(または管理者)がメモを追加すると保存され、元の受講登録詳細画面に戻ってフラッシュメッセージ「メモを追加しました。」が表示される
2. 作成者には操作したコーチ / 管理者が記録される")</f>
        <v>【コーチ・管理者】
1. 担当資格に登録した受講生の受講登録に対してコーチ(または管理者)がメモを追加すると保存され、元の受講登録詳細画面に戻ってフラッシュメッセージ「メモを追加しました。」が表示される
2. 作成者には操作したコーチ / 管理者が記録される</v>
      </c>
      <c r="C32" s="31">
        <f>IFERROR(__xludf.DUMMYFUNCTION("""COMPUTED_VALUE"""),1.0)</f>
        <v>1</v>
      </c>
    </row>
    <row r="33">
      <c r="A33" s="31" t="str">
        <f>IFERROR(__xludf.DUMMYFUNCTION("""COMPUTED_VALUE"""),"S-B-07 受講生メモの管理（コーチ）")</f>
        <v>S-B-07 受講生メモの管理（コーチ）</v>
      </c>
      <c r="B33" s="31" t="str">
        <f>IFERROR(__xludf.DUMMYFUNCTION("""COMPUTED_VALUE"""),"【コーチ・管理者】
1. 自分が作成したメモ(管理者は全メモ)を専用編集ページで本文更新できる
2. 成功時に作成者は変わらず元の画面に戻ってフラッシュメッセージ「メモを更新しました。」が表示される")</f>
        <v>【コーチ・管理者】
1. 自分が作成したメモ(管理者は全メモ)を専用編集ページで本文更新できる
2. 成功時に作成者は変わらず元の画面に戻ってフラッシュメッセージ「メモを更新しました。」が表示される</v>
      </c>
      <c r="C33" s="31">
        <f>IFERROR(__xludf.DUMMYFUNCTION("""COMPUTED_VALUE"""),1.0)</f>
        <v>1</v>
      </c>
    </row>
    <row r="34">
      <c r="A34" s="31" t="str">
        <f>IFERROR(__xludf.DUMMYFUNCTION("""COMPUTED_VALUE"""),"S-B-07 受講生メモの管理（コーチ）")</f>
        <v>S-B-07 受講生メモの管理（コーチ）</v>
      </c>
      <c r="B34" s="31" t="str">
        <f>IFERROR(__xludf.DUMMYFUNCTION("""COMPUTED_VALUE"""),"【コーチ・管理者】
1. 自分が作成したメモ(管理者は全メモ)を削除でき、成功時に元の画面に戻ってフラッシュメッセージ「メモを削除しました。」が表示される")</f>
        <v>【コーチ・管理者】
1. 自分が作成したメモ(管理者は全メモ)を削除でき、成功時に元の画面に戻ってフラッシュメッセージ「メモを削除しました。」が表示される</v>
      </c>
      <c r="C34" s="31">
        <f>IFERROR(__xludf.DUMMYFUNCTION("""COMPUTED_VALUE"""),1.0)</f>
        <v>1</v>
      </c>
    </row>
    <row r="35">
      <c r="A35" s="31" t="str">
        <f>IFERROR(__xludf.DUMMYFUNCTION("""COMPUTED_VALUE"""),"S-B-07 受講生メモの管理（コーチ）")</f>
        <v>S-B-07 受講生メモの管理（コーチ）</v>
      </c>
      <c r="B35" s="31" t="str">
        <f>IFERROR(__xludf.DUMMYFUNCTION("""COMPUTED_VALUE"""),"【コーチ・管理者】
1. 担当資格に登録した受講生の受講登録詳細画面でメモが時系列降順で表示される
2. 自分が作成したメモにのみ編集 / 削除ボタンが出る(他コーチのメモは閲覧のみ)。管理者は全メモに編集 / 削除ボタンが表示される")</f>
        <v>【コーチ・管理者】
1. 担当資格に登録した受講生の受講登録詳細画面でメモが時系列降順で表示される
2. 自分が作成したメモにのみ編集 / 削除ボタンが出る(他コーチのメモは閲覧のみ)。管理者は全メモに編集 / 削除ボタンが表示される</v>
      </c>
      <c r="C35" s="31">
        <f>IFERROR(__xludf.DUMMYFUNCTION("""COMPUTED_VALUE"""),1.0)</f>
        <v>1</v>
      </c>
    </row>
    <row r="36">
      <c r="A36" s="31" t="str">
        <f>IFERROR(__xludf.DUMMYFUNCTION("""COMPUTED_VALUE"""),"S-B-07 受講生メモの管理（コーチ）")</f>
        <v>S-B-07 受講生メモの管理（コーチ）</v>
      </c>
      <c r="B36" s="31" t="str">
        <f>IFERROR(__xludf.DUMMYFUNCTION("""COMPUTED_VALUE"""),"【受講生】
1. 受講生が自分の受講登録詳細画面を開いてもメモのセクション自体が表示されず、メモ系ルートにもアクセスできない")</f>
        <v>【受講生】
1. 受講生が自分の受講登録詳細画面を開いてもメモのセクション自体が表示されず、メモ系ルートにもアクセスできない</v>
      </c>
      <c r="C36" s="31">
        <f>IFERROR(__xludf.DUMMYFUNCTION("""COMPUTED_VALUE"""),1.0)</f>
        <v>1</v>
      </c>
    </row>
    <row r="37">
      <c r="A37" s="31" t="str">
        <f>IFERROR(__xludf.DUMMYFUNCTION("""COMPUTED_VALUE"""),"S-B-07 受講生メモの管理（コーチ）")</f>
        <v>S-B-07 受講生メモの管理（コーチ）</v>
      </c>
      <c r="B37" s="31" t="str">
        <f>IFERROR(__xludf.DUMMYFUNCTION("""COMPUTED_VALUE"""),"【コーチ】
1. コーチは担当していない資格の受講登録詳細にアクセスできずメモにも到達できない
2. 他コーチが作成したメモの編集専用ページにもアクセスできない")</f>
        <v>【コーチ】
1. コーチは担当していない資格の受講登録詳細にアクセスできずメモにも到達できない
2. 他コーチが作成したメモの編集専用ページにもアクセスできない</v>
      </c>
      <c r="C37" s="31">
        <f>IFERROR(__xludf.DUMMYFUNCTION("""COMPUTED_VALUE"""),1.0)</f>
        <v>1</v>
      </c>
    </row>
    <row r="38">
      <c r="A38" s="31" t="str">
        <f>IFERROR(__xludf.DUMMYFUNCTION("""COMPUTED_VALUE"""),"S-B-07 受講生メモの管理（コーチ）")</f>
        <v>S-B-07 受講生メモの管理（コーチ）</v>
      </c>
      <c r="B38" s="31" t="str">
        <f>IFERROR(__xludf.DUMMYFUNCTION("""COMPUTED_VALUE"""),"【コーチ・管理者】
1. 違反時に入力値の再表示とともに日本語エラーが表示される(本文 = 必須・2000 文字以内)
(メッセージ例: 「メモ本文 を入力してください。」「メモ本文 は 2000 文字以内で入力してください。」)")</f>
        <v>【コーチ・管理者】
1. 違反時に入力値の再表示とともに日本語エラーが表示される(本文 = 必須・2000 文字以内)
(メッセージ例: 「メモ本文 を入力してください。」「メモ本文 は 2000 文字以内で入力してください。」)</v>
      </c>
      <c r="C38" s="31">
        <f>IFERROR(__xludf.DUMMYFUNCTION("""COMPUTED_VALUE"""),1.0)</f>
        <v>1</v>
      </c>
    </row>
    <row r="39">
      <c r="A39" s="31" t="str">
        <f>IFERROR(__xludf.DUMMYFUNCTION("""COMPUTED_VALUE"""),"S-B-08 お知らせ配信（管理者）")</f>
        <v>S-B-08 お知らせ配信（管理者）</v>
      </c>
      <c r="B39" s="31" t="str">
        <f>IFERROR(__xludf.DUMMYFUNCTION("""COMPUTED_VALUE"""),"【管理者】
1. 受講中でない受講生(退会済 / 修了済 / 招待中)/ コーチ / 管理者 は配信対象集合から除外され、配信件数にも含まれない")</f>
        <v>【管理者】
1. 受講中でない受講生(退会済 / 修了済 / 招待中)/ コーチ / 管理者 は配信対象集合から除外され、配信件数にも含まれない</v>
      </c>
      <c r="C39" s="31">
        <f>IFERROR(__xludf.DUMMYFUNCTION("""COMPUTED_VALUE"""),1.0)</f>
        <v>1</v>
      </c>
    </row>
    <row r="40">
      <c r="A40" s="31" t="str">
        <f>IFERROR(__xludf.DUMMYFUNCTION("""COMPUTED_VALUE"""),"S-B-08 お知らせ配信（管理者）")</f>
        <v>S-B-08 お知らせ配信（管理者）</v>
      </c>
      <c r="B40" s="31" t="str">
        <f>IFERROR(__xludf.DUMMYFUNCTION("""COMPUTED_VALUE"""),"【管理者】
1. 配信作成でバリデーションが行われ、違反時に日本語エラーが表示され配信は実行されない
a. タイトル = 必須・200 文字以内
b. 本文 = 必須・5000 文字以内
c. 配信対象タイプ = 必須・全受講生 / 資格指定 / ユーザー指定のいずれか
d. 配信先資格 = 資格指定時のみ必須・既存資格と整合〈他タイプでは指定不可〉
e. 配信先ユーザー = ユーザー指定時のみ必須・既存受講生と整合〈他タイプでは指定不可〉
(メッセージ例: 「タイトルを入力してください。」「本文を入力し"&amp;"てください。」「配信対象タイプが『資格指定』のとき、配信対象の資格を選択してください。」「配信対象タイプが『ユーザー指定』のとき、配信対象のユーザーを選択してください。」)")</f>
        <v>【管理者】
1. 配信作成でバリデーションが行われ、違反時に日本語エラーが表示され配信は実行されない
a. タイトル = 必須・200 文字以内
b. 本文 = 必須・5000 文字以内
c. 配信対象タイプ = 必須・全受講生 / 資格指定 / ユーザー指定のいずれか
d. 配信先資格 = 資格指定時のみ必須・既存資格と整合〈他タイプでは指定不可〉
e. 配信先ユーザー = ユーザー指定時のみ必須・既存受講生と整合〈他タイプでは指定不可〉
(メッセージ例: 「タイトルを入力してください。」「本文を入力してください。」「配信対象タイプが『資格指定』のとき、配信対象の資格を選択してください。」「配信対象タイプが『ユーザー指定』のとき、配信対象のユーザーを選択してください。」)</v>
      </c>
      <c r="C40" s="31">
        <f>IFERROR(__xludf.DUMMYFUNCTION("""COMPUTED_VALUE"""),1.0)</f>
        <v>1</v>
      </c>
    </row>
    <row r="41">
      <c r="A41" s="31" t="str">
        <f>IFERROR(__xludf.DUMMYFUNCTION("""COMPUTED_VALUE"""),"S-A-01 Google Calendar 連携（面談予約）")</f>
        <v>S-A-01 Google Calendar 連携（面談予約）</v>
      </c>
      <c r="B41" s="31" t="str">
        <f>IFERROR(__xludf.DUMMYFUNCTION("""COMPUTED_VALUE"""),"【コーチ・受講生・管理者】
1. コーチが面談設定タブの連携ボタンを押すと Google の認可画面に遷移し、認可完了後は面談設定タブに戻って「連携中」(連携日時付き) + フラッシュ「Googleカレンダーと連携しました。」が表示される
2. 受講生 / 管理者は連携ルートにアクセスできない")</f>
        <v>【コーチ・受講生・管理者】
1. コーチが面談設定タブの連携ボタンを押すと Google の認可画面に遷移し、認可完了後は面談設定タブに戻って「連携中」(連携日時付き) + フラッシュ「Googleカレンダーと連携しました。」が表示される
2. 受講生 / 管理者は連携ルートにアクセスできない</v>
      </c>
      <c r="C41" s="31">
        <f>IFERROR(__xludf.DUMMYFUNCTION("""COMPUTED_VALUE"""),1.0)</f>
        <v>1</v>
      </c>
    </row>
    <row r="42">
      <c r="A42" s="31" t="str">
        <f>IFERROR(__xludf.DUMMYFUNCTION("""COMPUTED_VALUE"""),"S-A-01 Google Calendar 連携（面談予約）")</f>
        <v>S-A-01 Google Calendar 連携（面談予約）</v>
      </c>
      <c r="B42" s="31" t="str">
        <f>IFERROR(__xludf.DUMMYFUNCTION("""COMPUTED_VALUE"""),"【コーチ】
1. コーチが解除ボタンを押すと連携情報が削除され、面談設定タブが「未連携」+ フラッシュ「Googleカレンダー連携を解除しました。」に戻る(Google 側のアクセス権も失効する)")</f>
        <v>【コーチ】
1. コーチが解除ボタンを押すと連携情報が削除され、面談設定タブが「未連携」+ フラッシュ「Googleカレンダー連携を解除しました。」に戻る(Google 側のアクセス権も失効する)</v>
      </c>
      <c r="C42" s="31">
        <f>IFERROR(__xludf.DUMMYFUNCTION("""COMPUTED_VALUE"""),1.0)</f>
        <v>1</v>
      </c>
    </row>
    <row r="43">
      <c r="A43" s="31" t="str">
        <f>IFERROR(__xludf.DUMMYFUNCTION("""COMPUTED_VALUE"""),"S-A-01 Google Calendar 連携（面談予約）")</f>
        <v>S-A-01 Google Calendar 連携（面談予約）</v>
      </c>
      <c r="B43" s="31" t="str">
        <f>IFERROR(__xludf.DUMMYFUNCTION("""COMPUTED_VALUE"""),"【受講生】
1. 受講生の予約画面の空き枠で、連携済コーチは Google カレンダーで予定がある時刻が空き枠から外れる
2. 連携なしコーチは Google を参照せず面談可能時間枠 + 既存予約のみで判定される")</f>
        <v>【受講生】
1. 受講生の予約画面の空き枠で、連携済コーチは Google カレンダーで予定がある時刻が空き枠から外れる
2. 連携なしコーチは Google を参照せず面談可能時間枠 + 既存予約のみで判定される</v>
      </c>
      <c r="C43" s="31">
        <f>IFERROR(__xludf.DUMMYFUNCTION("""COMPUTED_VALUE"""),2.0)</f>
        <v>2</v>
      </c>
    </row>
    <row r="44">
      <c r="A44" s="31" t="str">
        <f>IFERROR(__xludf.DUMMYFUNCTION("""COMPUTED_VALUE"""),"S-A-01 Google Calendar 連携（面談予約）")</f>
        <v>S-A-01 Google Calendar 連携（面談予約）</v>
      </c>
      <c r="B44" s="31" t="str">
        <f>IFERROR(__xludf.DUMMYFUNCTION("""COMPUTED_VALUE"""),"【システム】
1. 連携済コーチへの Google API 呼び出しが失敗してもエラー画面にならず、当該コーチは予定なし扱い(連携なしと同等)で空き枠が表示される")</f>
        <v>【システム】
1. 連携済コーチへの Google API 呼び出しが失敗してもエラー画面にならず、当該コーチは予定なし扱い(連携なしと同等)で空き枠が表示される</v>
      </c>
      <c r="C44" s="31">
        <f>IFERROR(__xludf.DUMMYFUNCTION("""COMPUTED_VALUE"""),2.0)</f>
        <v>2</v>
      </c>
    </row>
    <row r="45">
      <c r="A45" s="31" t="str">
        <f>IFERROR(__xludf.DUMMYFUNCTION("""COMPUTED_VALUE"""),"S-A-01 Google Calendar 連携（面談予約）")</f>
        <v>S-A-01 Google Calendar 連携（面談予約）</v>
      </c>
      <c r="B45" s="31" t="str">
        <f>IFERROR(__xludf.DUMMYFUNCTION("""COMPUTED_VALUE"""),"【システム】
1. 連携済コーチは面談 Event が作成され、面談に Event 識別子が保存される
2. 連携なしコーチは Event 作成が走らず、識別子なしで予約が成立する
3. Event 作成 API が失敗しても予約自体(面談作成 + 面談回数消費 + 担当コーチ宛通知)は成立し、識別子なしになる")</f>
        <v>【システム】
1. 連携済コーチは面談 Event が作成され、面談に Event 識別子が保存される
2. 連携なしコーチは Event 作成が走らず、識別子なしで予約が成立する
3. Event 作成 API が失敗しても予約自体(面談作成 + 面談回数消費 + 担当コーチ宛通知)は成立し、識別子なしになる</v>
      </c>
      <c r="C45" s="31">
        <f>IFERROR(__xludf.DUMMYFUNCTION("""COMPUTED_VALUE"""),2.0)</f>
        <v>2</v>
      </c>
    </row>
    <row r="46">
      <c r="A46" s="31" t="str">
        <f>IFERROR(__xludf.DUMMYFUNCTION("""COMPUTED_VALUE"""),"S-A-01 Google Calendar 連携（面談予約）")</f>
        <v>S-A-01 Google Calendar 連携（面談予約）</v>
      </c>
      <c r="B46" s="31" t="str">
        <f>IFERROR(__xludf.DUMMYFUNCTION("""COMPUTED_VALUE"""),"【システム】
1. Event 識別子が紐づく面談は Google カレンダーの Event が連動削除される
2. 識別子がない / 削除 API が失敗した場合でもキャンセル自体(キャンセル状態への遷移 + 面談回数返却)は成立する")</f>
        <v>【システム】
1. Event 識別子が紐づく面談は Google カレンダーの Event が連動削除される
2. 識別子がない / 削除 API が失敗した場合でもキャンセル自体(キャンセル状態への遷移 + 面談回数返却)は成立する</v>
      </c>
      <c r="C46" s="31">
        <f>IFERROR(__xludf.DUMMYFUNCTION("""COMPUTED_VALUE"""),2.0)</f>
        <v>2</v>
      </c>
    </row>
    <row r="47">
      <c r="A47" s="31" t="str">
        <f>IFERROR(__xludf.DUMMYFUNCTION("""COMPUTED_VALUE"""),"S-A-01 Google Calendar 連携（面談予約）")</f>
        <v>S-A-01 Google Calendar 連携（面談予約）</v>
      </c>
      <c r="B47" s="31" t="str">
        <f>IFERROR(__xludf.DUMMYFUNCTION("""COMPUTED_VALUE"""),"【システム】
1. 連携済コーチのアクセストークンが期限切れの状態で空き枠取得 / Event 作成 / Event 削除が走ると、リフレッシュトークンで自動更新してリトライする
2. 更新も失敗した場合は当該 API をスキップ(連携なし相当のフォールバック)して画面のフローは継続する")</f>
        <v>【システム】
1. 連携済コーチのアクセストークンが期限切れの状態で空き枠取得 / Event 作成 / Event 削除が走ると、リフレッシュトークンで自動更新してリトライする
2. 更新も失敗した場合は当該 API をスキップ(連携なし相当のフォールバック)して画面のフローは継続する</v>
      </c>
      <c r="C47" s="31">
        <f>IFERROR(__xludf.DUMMYFUNCTION("""COMPUTED_VALUE"""),2.0)</f>
        <v>2</v>
      </c>
    </row>
    <row r="48">
      <c r="A48" s="31" t="str">
        <f>IFERROR(__xludf.DUMMYFUNCTION("""COMPUTED_VALUE"""),"S-A-02 Gemini AI チャットボット")</f>
        <v>S-A-02 Gemini AI チャットボット</v>
      </c>
      <c r="B48" s="31" t="str">
        <f>IFERROR(__xludf.DUMMYFUNCTION("""COMPUTED_VALUE"""),"【受講生】
1. フル画面の「新しい相談」から会話を作成した際に、作成された会話の詳細画面へリダイレクトし、フラッシュ「新しい相談を開始しました。」が表示される(フル画面からは常に新規作成)
2. 教材セクションのウィジェットから相談を始めた場合は、その Section の既存会話があれば再開され、なければ新規作成される(画面遷移せずウィジェット内で続く)")</f>
        <v>【受講生】
1. フル画面の「新しい相談」から会話を作成した際に、作成された会話の詳細画面へリダイレクトし、フラッシュ「新しい相談を開始しました。」が表示される(フル画面からは常に新規作成)
2. 教材セクションのウィジェットから相談を始めた場合は、その Section の既存会話があれば再開され、なければ新規作成される(画面遷移せずウィジェット内で続く)</v>
      </c>
      <c r="C48" s="31">
        <f>IFERROR(__xludf.DUMMYFUNCTION("""COMPUTED_VALUE"""),2.0)</f>
        <v>2</v>
      </c>
    </row>
    <row r="49">
      <c r="A49" s="31" t="str">
        <f>IFERROR(__xludf.DUMMYFUNCTION("""COMPUTED_VALUE"""),"S-A-02 Gemini AI チャットボット")</f>
        <v>S-A-02 Gemini AI チャットボット</v>
      </c>
      <c r="B49" s="31" t="str">
        <f>IFERROR(__xludf.DUMMYFUNCTION("""COMPUTED_VALUE"""),"【受講生】
1. 機能スイッチ OFF / API キー未設定 / 受講生の日次送信上限超過では、サイドバー・フローティングウィジェットが非表示(機能 OFF 時)か、利用できない旨の日本語案内が表示され、AI 相談画面の表示・メッセージ送信が行われない(API キー未設定「送信に失敗しました。」/ 日次送信上限超過「本日の利用上限に達しました。明日 0:00 以降に再度ご利用ください。」)")</f>
        <v>【受講生】
1. 機能スイッチ OFF / API キー未設定 / 受講生の日次送信上限超過では、サイドバー・フローティングウィジェットが非表示(機能 OFF 時)か、利用できない旨の日本語案内が表示され、AI 相談画面の表示・メッセージ送信が行われない(API キー未設定「送信に失敗しました。」/ 日次送信上限超過「本日の利用上限に達しました。明日 0:00 以降に再度ご利用ください。」)</v>
      </c>
      <c r="C49" s="31">
        <f>IFERROR(__xludf.DUMMYFUNCTION("""COMPUTED_VALUE"""),1.0)</f>
        <v>1</v>
      </c>
    </row>
    <row r="50">
      <c r="A50" s="31" t="str">
        <f>IFERROR(__xludf.DUMMYFUNCTION("""COMPUTED_VALUE"""),"S-A-02 Gemini AI チャットボット")</f>
        <v>S-A-02 Gemini AI チャットボット</v>
      </c>
      <c r="B50" s="31" t="str">
        <f>IFERROR(__xludf.DUMMYFUNCTION("""COMPUTED_VALUE"""),"【受講生・コーチ・管理者】
1. フローティングウィジェットが学習中受講生の全画面に表示される(コーチ / 管理者 / 学習中以外の受講生 / AI 相談画面では非表示)
2. 開閉状態と表示中の会話 ID がページ遷移後も同タブ内で引き継がれる")</f>
        <v>【受講生・コーチ・管理者】
1. フローティングウィジェットが学習中受講生の全画面に表示される(コーチ / 管理者 / 学習中以外の受講生 / AI 相談画面では非表示)
2. 開閉状態と表示中の会話 ID がページ遷移後も同タブ内で引き継がれる</v>
      </c>
      <c r="C50" s="31">
        <f>IFERROR(__xludf.DUMMYFUNCTION("""COMPUTED_VALUE"""),1.0)</f>
        <v>1</v>
      </c>
    </row>
    <row r="51">
      <c r="A51" s="31" t="str">
        <f>IFERROR(__xludf.DUMMYFUNCTION("""COMPUTED_VALUE"""),"S-A-02 Gemini AI チャットボット")</f>
        <v>S-A-02 Gemini AI チャットボット</v>
      </c>
      <c r="B51" s="31" t="str">
        <f>IFERROR(__xludf.DUMMYFUNCTION("""COMPUTED_VALUE"""),"【受講生】
1. 会話作成: 教材セクション = 任意(指定時は既存セクションと整合) / 初回メッセージ = 任意(1〜2000 文字) / 起動経路 = ウィジェット・フル画面のいずれか（いずれも任意のため空でも会話は作成される）
2. タイトル更新: タイトル = 必須・1〜100 文字。空で保存するとタイトル編集モーダルに日本語エラー「タイトルを入力してください。」が表示され更新されない
3. メッセージ送信: メッセージ本文 = 必須・1〜2000 文字。空欄では送信操作が働かず送信されない（チ"&amp;"ャットの標準 UX。文字数上限は入力欄の maxlength で担保）")</f>
        <v>【受講生】
1. 会話作成: 教材セクション = 任意(指定時は既存セクションと整合) / 初回メッセージ = 任意(1〜2000 文字) / 起動経路 = ウィジェット・フル画面のいずれか（いずれも任意のため空でも会話は作成される）
2. タイトル更新: タイトル = 必須・1〜100 文字。空で保存するとタイトル編集モーダルに日本語エラー「タイトルを入力してください。」が表示され更新されない
3. メッセージ送信: メッセージ本文 = 必須・1〜2000 文字。空欄では送信操作が働かず送信されない（チャットの標準 UX。文字数上限は入力欄の maxlength で担保）</v>
      </c>
      <c r="C51" s="31">
        <f>IFERROR(__xludf.DUMMYFUNCTION("""COMPUTED_VALUE"""),1.0)</f>
        <v>1</v>
      </c>
    </row>
    <row r="52">
      <c r="A52" s="31" t="str">
        <f>IFERROR(__xludf.DUMMYFUNCTION("""COMPUTED_VALUE"""),"S-A-03 Stripe 連携（追加面談購入）")</f>
        <v>S-A-03 Stripe 連携（追加面談購入）</v>
      </c>
      <c r="B52" s="31" t="str">
        <f>IFERROR(__xludf.DUMMYFUNCTION("""COMPUTED_VALUE"""),"【システム】
1. 決済完了イベントの受信時、対応する購入記録が成功状態に遷移(決済確定日時 + 決済識別子を記録)する
2. 同一トランザクション内で購入回数分の残数加算記録が作成され、加算直後から受講生の残数集計(ダッシュボード / 予約画面の数値)に反映される")</f>
        <v>【システム】
1. 決済完了イベントの受信時、対応する購入記録が成功状態に遷移(決済確定日時 + 決済識別子を記録)する
2. 同一トランザクション内で購入回数分の残数加算記録が作成され、加算直後から受講生の残数集計(ダッシュボード / 予約画面の数値)に反映される</v>
      </c>
      <c r="C52" s="31">
        <f>IFERROR(__xludf.DUMMYFUNCTION("""COMPUTED_VALUE"""),2.0)</f>
        <v>2</v>
      </c>
    </row>
    <row r="53">
      <c r="A53" s="31" t="str">
        <f>IFERROR(__xludf.DUMMYFUNCTION("""COMPUTED_VALUE"""),"S-A-03 Stripe 連携（追加面談購入）")</f>
        <v>S-A-03 Stripe 連携（追加面談購入）</v>
      </c>
      <c r="B53" s="31" t="str">
        <f>IFERROR(__xludf.DUMMYFUNCTION("""COMPUTED_VALUE"""),"【システム】
1. 決済失敗 / 期限切れイベントの受信時、対応する保留状態の購入記録が失敗状態に遷移し、残数加算は行われない")</f>
        <v>【システム】
1. 決済失敗 / 期限切れイベントの受信時、対応する保留状態の購入記録が失敗状態に遷移し、残数加算は行われない</v>
      </c>
      <c r="C53" s="31">
        <f>IFERROR(__xludf.DUMMYFUNCTION("""COMPUTED_VALUE"""),1.0)</f>
        <v>1</v>
      </c>
    </row>
    <row r="54">
      <c r="A54" s="31" t="str">
        <f>IFERROR(__xludf.DUMMYFUNCTION("""COMPUTED_VALUE"""),"S-A-04 修了証 PDF 出力")</f>
        <v>S-A-04 修了証 PDF 出力</v>
      </c>
      <c r="B54" s="31" t="str">
        <f>IFERROR(__xludf.DUMMYFUNCTION("""COMPUTED_VALUE"""),"【受講生】
1. 修了状態の受講登録に対する発行が成功すると、修了証レコード(受講生 / 受講登録 / 資格 / PDF パス / 発行日時)が作成される
2. 同じ処理単位でプライベート保管領域に PDF ファイルが保存される")</f>
        <v>【受講生】
1. 修了状態の受講登録に対する発行が成功すると、修了証レコード(受講生 / 受講登録 / 資格 / PDF パス / 発行日時)が作成される
2. 同じ処理単位でプライベート保管領域に PDF ファイルが保存される</v>
      </c>
      <c r="C54" s="31">
        <f>IFERROR(__xludf.DUMMYFUNCTION("""COMPUTED_VALUE"""),1.0)</f>
        <v>1</v>
      </c>
    </row>
    <row r="55">
      <c r="A55" s="31" t="str">
        <f>IFERROR(__xludf.DUMMYFUNCTION("""COMPUTED_VALUE"""),"S-A-04 修了証 PDF 出力")</f>
        <v>S-A-04 修了証 PDF 出力</v>
      </c>
      <c r="B55" s="31" t="str">
        <f>IFERROR(__xludf.DUMMYFUNCTION("""COMPUTED_VALUE"""),"【システム】
1. 生成された PDF に受講生氏名 / 資格名 / 発行日(西暦表記)/ 固定 3 文言(「修了証」「上記の者は、本資格の所定の課程を修了したことを証する」「Certify LMS」)が日本語で文字化けせず描画される
2. 資格コード / 試験区分 / カテゴリ等の過剰情報は含まれない")</f>
        <v>【システム】
1. 生成された PDF に受講生氏名 / 資格名 / 発行日(西暦表記)/ 固定 3 文言(「修了証」「上記の者は、本資格の所定の課程を修了したことを証する」「Certify LMS」)が日本語で文字化けせず描画される
2. 資格コード / 試験区分 / カテゴリ等の過剰情報は含まれない</v>
      </c>
      <c r="C55" s="31">
        <f>IFERROR(__xludf.DUMMYFUNCTION("""COMPUTED_VALUE"""),1.0)</f>
        <v>1</v>
      </c>
    </row>
    <row r="56">
      <c r="A56" s="31" t="str">
        <f>IFERROR(__xludf.DUMMYFUNCTION("""COMPUTED_VALUE"""),"S-A-04 修了証 PDF 出力")</f>
        <v>S-A-04 修了証 PDF 出力</v>
      </c>
      <c r="B56" s="31" t="str">
        <f>IFERROR(__xludf.DUMMYFUNCTION("""COMPUTED_VALUE"""),"【受講生】
1. ダウンロード成功時に、修了証 PDF がファイル名 certificate-{修了証 ID}.pdf の添付ファイルとしてダウンロードされる")</f>
        <v>【受講生】
1. ダウンロード成功時に、修了証 PDF がファイル名 certificate-{修了証 ID}.pdf の添付ファイルとしてダウンロードされる</v>
      </c>
      <c r="C56" s="31">
        <f>IFERROR(__xludf.DUMMYFUNCTION("""COMPUTED_VALUE"""),1.0)</f>
        <v>1</v>
      </c>
    </row>
    <row r="57">
      <c r="A57" s="31" t="str">
        <f>IFERROR(__xludf.DUMMYFUNCTION("""COMPUTED_VALUE"""),"S-A-04 修了証 PDF 出力")</f>
        <v>S-A-04 修了証 PDF 出力</v>
      </c>
      <c r="B57" s="31" t="str">
        <f>IFERROR(__xludf.DUMMYFUNCTION("""COMPUTED_VALUE"""),"【システム】
1. 修了証レコードは存在するが保管領域に PDF ファイルが見つからない場合、ダウンロードできない")</f>
        <v>【システム】
1. 修了証レコードは存在するが保管領域に PDF ファイルが見つからない場合、ダウンロードできない</v>
      </c>
      <c r="C57" s="31">
        <f>IFERROR(__xludf.DUMMYFUNCTION("""COMPUTED_VALUE"""),1.0)</f>
        <v>1</v>
      </c>
    </row>
    <row r="58">
      <c r="A58" s="31" t="str">
        <f>IFERROR(__xludf.DUMMYFUNCTION("""COMPUTED_VALUE"""),"S-A-05 Sanctum Cookie 認証 + JS フロント通知表示")</f>
        <v>S-A-05 Sanctum Cookie 認証 + JS フロント通知表示</v>
      </c>
      <c r="B58" s="31" t="str">
        <f>IFERROR(__xludf.DUMMYFUNCTION("""COMPUTED_VALUE"""),"【管理者】
1. 認証済の管理者でも TopBar のベルからポップオーバーを開くとエラーにならず「通知はありません。」の空状態が表示される(管理者は通知の受信対象外で、一覧 API は 0 件の JSON を返す)")</f>
        <v>【管理者】
1. 認証済の管理者でも TopBar のベルからポップオーバーを開くとエラーにならず「通知はありません。」の空状態が表示される(管理者は通知の受信対象外で、一覧 API は 0 件の JSON を返す)</v>
      </c>
      <c r="C58" s="31">
        <f>IFERROR(__xludf.DUMMYFUNCTION("""COMPUTED_VALUE"""),1.0)</f>
        <v>1</v>
      </c>
    </row>
    <row r="59">
      <c r="A59" s="31" t="str">
        <f>IFERROR(__xludf.DUMMYFUNCTION("""COMPUTED_VALUE"""),"S-A-05 Sanctum Cookie 認証 + JS フロント通知表示")</f>
        <v>S-A-05 Sanctum Cookie 認証 + JS フロント通知表示</v>
      </c>
      <c r="B59" s="31" t="str">
        <f>IFERROR(__xludf.DUMMYFUNCTION("""COMPUTED_VALUE"""),"【受講生・コーチ】
1. 認証済受講生 / コーチが一覧 API を取得すると、通知種別 / タイトル / プレビュー / 遷移先ルート + パラメータ / 既読化日時 / 作成日時 等の整形フィールドを含む JSON が時系列降順で返る")</f>
        <v>【受講生・コーチ】
1. 認証済受講生 / コーチが一覧 API を取得すると、通知種別 / タイトル / プレビュー / 遷移先ルート + パラメータ / 既読化日時 / 作成日時 等の整形フィールドを含む JSON が時系列降順で返る</v>
      </c>
      <c r="C59" s="31">
        <f>IFERROR(__xludf.DUMMYFUNCTION("""COMPUTED_VALUE"""),1.0)</f>
        <v>1</v>
      </c>
    </row>
    <row r="60">
      <c r="A60" s="31" t="str">
        <f>IFERROR(__xludf.DUMMYFUNCTION("""COMPUTED_VALUE"""),"T-A-04 外部 API 連携のモックテスト追加")</f>
        <v>T-A-04 外部 API 連携のモックテスト追加</v>
      </c>
      <c r="B60" s="31" t="str">
        <f>IFERROR(__xludf.DUMMYFUNCTION("""COMPUTED_VALUE"""),"利用側（面談予約 / キャンセル / 空き枠集計 / 連携設定）のテストが外部ライブラリの低レベル呼出ではなく外部連携のまとまり単位でスタブ化されている")</f>
        <v>利用側（面談予約 / キャンセル / 空き枠集計 / 連携設定）のテストが外部ライブラリの低レベル呼出ではなく外部連携のまとまり単位でスタブ化されている</v>
      </c>
      <c r="C60" s="31">
        <f>IFERROR(__xludf.DUMMYFUNCTION("""COMPUTED_VALUE"""),1.0)</f>
        <v>1</v>
      </c>
    </row>
    <row r="61">
      <c r="A61" s="31" t="str">
        <f>IFERROR(__xludf.DUMMYFUNCTION("""COMPUTED_VALUE"""),"T-A-04 外部 API 連携のモックテスト追加")</f>
        <v>T-A-04 外部 API 連携のモックテスト追加</v>
      </c>
      <c r="B61" s="31" t="str">
        <f>IFERROR(__xludf.DUMMYFUNCTION("""COMPUTED_VALUE"""),"テスト実行時に外部 API への実通信が発生せず、外部 API 依存テストをグループ指定で分離実行できる（例: #[Group('external')] + sail bin phpunit --exclude-group external で分離実行でき、通常実行では実通信が起きない）")</f>
        <v>テスト実行時に外部 API への実通信が発生せず、外部 API 依存テストをグループ指定で分離実行できる（例: #[Group('external')] + sail bin phpunit --exclude-group external で分離実行でき、通常実行では実通信が起きない）</v>
      </c>
      <c r="C61" s="31">
        <f>IFERROR(__xludf.DUMMYFUNCTION("""COMPUTED_VALUE"""),1.0)</f>
        <v>1</v>
      </c>
    </row>
    <row r="62">
      <c r="A62" s="31" t="str">
        <f>IFERROR(__xludf.DUMMYFUNCTION("""COMPUTED_VALUE"""),"コード品質")</f>
        <v>コード品質</v>
      </c>
      <c r="B62" s="31" t="str">
        <f>IFERROR(__xludf.DUMMYFUNCTION("""COMPUTED_VALUE"""),"追加・変更されたコードが既存の設計パターンに倣っている（Controller を薄く保ち業務ロジックを Action / Service へ切り出す / namespace は Controller=App\Http\Controllers・API=App\Http\Controllers\Api\V1・テスト=Tests\Feature\Http\... の規約に従う。確認は主に Controller）")</f>
        <v>追加・変更されたコードが既存の設計パターンに倣っている（Controller を薄く保ち業務ロジックを Action / Service へ切り出す / namespace は Controller=App\Http\Controllers・API=App\Http\Controllers\Api\V1・テスト=Tests\Feature\Http\... の規約に従う。確認は主に Controller）</v>
      </c>
      <c r="C62" s="31">
        <f>IFERROR(__xludf.DUMMYFUNCTION("""COMPUTED_VALUE"""),8.0)</f>
        <v>8</v>
      </c>
    </row>
    <row r="63">
      <c r="A63" s="31" t="str">
        <f>IFERROR(__xludf.DUMMYFUNCTION("""COMPUTED_VALUE"""),"コード品質")</f>
        <v>コード品質</v>
      </c>
      <c r="B63" s="31" t="str">
        <f>IFERROR(__xludf.DUMMYFUNCTION("""COMPUTED_VALUE"""),"追加・変更されたコードに明らかな規約逸脱がない（変数名に a / x 等の無意味な名前やローマ字を用いない / 不要な use・コメントアウトを残さない / DB 操作は Eloquent・バリデーションは FormRequest で統一）")</f>
        <v>追加・変更されたコードに明らかな規約逸脱がない（変数名に a / x 等の無意味な名前やローマ字を用いない / 不要な use・コメントアウトを残さない / DB 操作は Eloquent・バリデーションは FormRequest で統一）</v>
      </c>
      <c r="C63" s="31">
        <f>IFERROR(__xludf.DUMMYFUNCTION("""COMPUTED_VALUE"""),5.0)</f>
        <v>5</v>
      </c>
    </row>
    <row r="64">
      <c r="A64" s="31" t="str">
        <f>IFERROR(__xludf.DUMMYFUNCTION("""COMPUTED_VALUE"""),"コード品質")</f>
        <v>コード品質</v>
      </c>
      <c r="B64" s="31" t="str">
        <f>IFERROR(__xludf.DUMMYFUNCTION("""COMPUTED_VALUE"""),"追加された一覧・集計取得に N+1 の新規混入がない（Eager Loading〈with / withCount〉で回避）。客観担保＝パフォーマンス Task の同梱クエリ数テスト、加えて代表箇所（質問一覧 / ダッシュボード集計 / お知らせ履歴）を目視で確認（全 PR の精査は不要）")</f>
        <v>追加された一覧・集計取得に N+1 の新規混入がない（Eager Loading〈with / withCount〉で回避）。客観担保＝パフォーマンス Task の同梱クエリ数テスト、加えて代表箇所（質問一覧 / ダッシュボード集計 / お知らせ履歴）を目視で確認（全 PR の精査は不要）</v>
      </c>
      <c r="C64" s="31">
        <f>IFERROR(__xludf.DUMMYFUNCTION("""COMPUTED_VALUE"""),6.0)</f>
        <v>6</v>
      </c>
    </row>
    <row r="65">
      <c r="A65" s="31" t="str">
        <f>IFERROR(__xludf.DUMMYFUNCTION("""COMPUTED_VALUE"""),"コード品質")</f>
        <v>コード品質</v>
      </c>
      <c r="B65" s="31" t="str">
        <f>IFERROR(__xludf.DUMMYFUNCTION("""COMPUTED_VALUE"""),"（応用）追加・変更されたコードの型・ドキュメント作法が既存と同水準（引数・戻り値の型宣言 / declare(strict_types=1) / 主要メソッドの PHPDoc に処理内容を記述、引数・戻り値は型宣言で担保）")</f>
        <v>（応用）追加・変更されたコードの型・ドキュメント作法が既存と同水準（引数・戻り値の型宣言 / declare(strict_types=1) / 主要メソッドの PHPDoc に処理内容を記述、引数・戻り値は型宣言で担保）</v>
      </c>
      <c r="C65" s="31">
        <f>IFERROR(__xludf.DUMMYFUNCTION("""COMPUTED_VALUE"""),5.0)</f>
        <v>5</v>
      </c>
    </row>
  </sheetData>
  <drawing r:id="rId1"/>
</worksheet>
</file>